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Nómina" sheetId="2" state="visible" r:id="rId2"/>
    <sheet xmlns:r="http://schemas.openxmlformats.org/officeDocument/2006/relationships" name="Contabilidad" sheetId="3" state="visible" r:id="rId3"/>
    <sheet xmlns:r="http://schemas.openxmlformats.org/officeDocument/2006/relationships" name="Comercial" sheetId="4" state="visible" r:id="rId4"/>
    <sheet xmlns:r="http://schemas.openxmlformats.org/officeDocument/2006/relationships" name="Cartera financiera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'Nómina'!$A$5:$M$45</definedName>
    <definedName name="_xlnm.Print_Titles" localSheetId="1">'Nómina'!$5:$5</definedName>
    <definedName name="_xlnm._FilterDatabase" localSheetId="2" hidden="1">'Contabilidad'!$A$5:$M$48</definedName>
    <definedName name="_xlnm.Print_Titles" localSheetId="2">'Contabilidad'!$5:$5</definedName>
    <definedName name="_xlnm._FilterDatabase" localSheetId="3" hidden="1">'Comercial'!$A$5:$M$42</definedName>
    <definedName name="_xlnm.Print_Titles" localSheetId="3">'Comercial'!$5:$5</definedName>
    <definedName name="_xlnm._FilterDatabase" localSheetId="4" hidden="1">'Cartera financiera'!$A$5:$M$44</definedName>
    <definedName name="_xlnm.Print_Titles" localSheetId="4">'Cartera financiera'!$5:$5</definedName>
    <definedName name="_xlnm._FilterDatabase" localSheetId="5" hidden="1">'Consolidado'!$A$6:$K$176</definedName>
    <definedName name="_xlnm.Print_Titles" localSheetId="5">'Consolidado'!$5:$6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C00000"/>
      <sz val="12"/>
    </font>
    <font>
      <name val="Calibri"/>
      <b val="1"/>
      <color rgb="001F3864"/>
      <sz val="13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E75B6"/>
      <sz val="10"/>
    </font>
    <font>
      <name val="Calibri"/>
      <b val="1"/>
      <color rgb="00ED7D31"/>
      <sz val="10"/>
    </font>
    <font>
      <name val="Calibri"/>
      <b val="1"/>
      <color rgb="0070AD47"/>
      <sz val="10"/>
    </font>
    <font>
      <name val="Calibri"/>
      <b val="1"/>
      <color rgb="007030A0"/>
      <sz val="10"/>
    </font>
    <font>
      <name val="Calibri"/>
      <b val="1"/>
      <color rgb="007F7F7F"/>
      <sz val="10"/>
    </font>
    <font>
      <name val="Calibri"/>
      <b val="1"/>
      <color rgb="00BF9000"/>
      <sz val="10"/>
    </font>
  </fonts>
  <fills count="10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4DFEC"/>
        <bgColor rgb="00E4DFEC"/>
      </patternFill>
    </fill>
    <fill>
      <patternFill patternType="solid">
        <fgColor rgb="00EDEDED"/>
        <bgColor rgb="00EDEDED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top"/>
    </xf>
    <xf numFmtId="0" fontId="7" fillId="9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66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8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10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2E75B6"/>
          <bgColor rgb="002E75B6"/>
        </patternFill>
      </fill>
    </dxf>
    <dxf>
      <fill>
        <patternFill patternType="solid">
          <fgColor rgb="00ED7D31"/>
          <bgColor rgb="00ED7D31"/>
        </patternFill>
      </fill>
    </dxf>
    <dxf>
      <fill>
        <patternFill patternType="solid">
          <fgColor rgb="0070AD47"/>
          <bgColor rgb="0070AD47"/>
        </patternFill>
      </fill>
    </dxf>
    <dxf>
      <fill>
        <patternFill patternType="solid">
          <fgColor rgb="007030A0"/>
          <bgColor rgb="007030A0"/>
        </patternFill>
      </fill>
    </dxf>
    <dxf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44" customWidth="1" min="4" max="4"/>
    <col width="34" customWidth="1" min="5" max="5"/>
    <col width="22" customWidth="1" min="6" max="6"/>
    <col width="18" customWidth="1" min="7" max="7"/>
    <col width="18" customWidth="1" min="8" max="8"/>
  </cols>
  <sheetData>
    <row r="1">
      <c r="A1" s="1" t="inlineStr">
        <is>
          <t>Plan de implementación de IngenIA365ERP — COOFLOPAL</t>
        </is>
      </c>
    </row>
    <row r="2" ht="32" customHeight="1">
      <c r="A2" s="2" t="inlineStr">
        <is>
          <t>Versión 1 · 19/09/2026 · elaborado por IngenIA 365 (Jorman Copete) para la Gerencia y el equipo de COOFLOPAL. Se mantiene en este libro: los cambios acordados en el seguimiento semanal se registran aquí.</t>
        </is>
      </c>
    </row>
    <row r="4" ht="48" customHeight="1">
      <c r="A4" s="3" t="inlineStr">
        <is>
          <t>ADVERTENCIA: los tiempos de este plan son estimados; sin embargo, constituyen la base de trabajo para salir en vivo el martes 01/12/2026 únicamente con IngenIA365ERP. El paralelo con el aplicativo actual termina el sábado 28/11/2026. Cualquier desvío se registra en la bitácora y se escala a Gerencia en el seguimiento semanal.</t>
        </is>
      </c>
    </row>
    <row r="6">
      <c r="A6" s="4" t="inlineStr">
        <is>
          <t>1. Propósito</t>
        </is>
      </c>
    </row>
    <row r="7" ht="64" customHeight="1">
      <c r="A7" s="5" t="inlineStr">
        <is>
          <t>Poner en operación IngenIA365ERP en COOFLOPAL en los módulos de Nómina, Contabilidad, Comercial y Cartera financiera, con el personal capacitado y los datos parametrizados y conciliados, de modo que desde el 01/12/2026 toda la operación se registre únicamente en el nuevo sistema. El plan combina tres etapas por módulo: parametrización y configuración, capacitación por proceso y un paralelo con el aplicativo actual que permite interiorizar el manejo y detectar inconsistencias antes de la salida en vivo.</t>
        </is>
      </c>
    </row>
    <row r="9">
      <c r="A9" s="4" t="inlineStr">
        <is>
          <t>2. Alcance por módulo</t>
        </is>
      </c>
    </row>
    <row r="10" ht="32" customHeight="1">
      <c r="A10" s="6" t="inlineStr">
        <is>
          <t>Módulo</t>
        </is>
      </c>
      <c r="B10" s="6" t="inlineStr">
        <is>
          <t>Inicio</t>
        </is>
      </c>
      <c r="C10" s="6" t="inlineStr">
        <is>
          <t>Fin de parametrización</t>
        </is>
      </c>
      <c r="D10" s="6" t="inlineStr">
        <is>
          <t>Paralelo con el aplicativo actual</t>
        </is>
      </c>
      <c r="E10" s="6" t="inlineStr">
        <is>
          <t>Corte del paralelo</t>
        </is>
      </c>
      <c r="F10" s="6" t="inlineStr">
        <is>
          <t>Nº de tareas</t>
        </is>
      </c>
      <c r="G10" s="6" t="inlineStr">
        <is>
          <t>Hoja</t>
        </is>
      </c>
    </row>
    <row r="11">
      <c r="A11" s="7" t="inlineStr">
        <is>
          <t>Nómina</t>
        </is>
      </c>
      <c r="B11" s="8" t="n">
        <v>46277</v>
      </c>
      <c r="C11" s="8" t="n">
        <v>46291</v>
      </c>
      <c r="D11" s="7" t="inlineStr">
        <is>
          <t>del 27/09 al 28/11</t>
        </is>
      </c>
      <c r="E11" s="8" t="n">
        <v>46354</v>
      </c>
      <c r="F11" s="7" t="n">
        <v>40</v>
      </c>
      <c r="G11" s="7" t="inlineStr">
        <is>
          <t>Nómina</t>
        </is>
      </c>
    </row>
    <row r="12">
      <c r="A12" s="7" t="inlineStr">
        <is>
          <t>Contabilidad</t>
        </is>
      </c>
      <c r="B12" s="8" t="n">
        <v>46291</v>
      </c>
      <c r="C12" s="8" t="n">
        <v>46326</v>
      </c>
      <c r="D12" s="7" t="inlineStr">
        <is>
          <t>del 01/11 al 28/11</t>
        </is>
      </c>
      <c r="E12" s="8" t="n">
        <v>46354</v>
      </c>
      <c r="F12" s="7" t="n">
        <v>43</v>
      </c>
      <c r="G12" s="7" t="inlineStr">
        <is>
          <t>Contabilidad</t>
        </is>
      </c>
    </row>
    <row r="13">
      <c r="A13" s="7" t="inlineStr">
        <is>
          <t>Comercial</t>
        </is>
      </c>
      <c r="B13" s="8" t="n">
        <v>46291</v>
      </c>
      <c r="C13" s="8" t="n">
        <v>46326</v>
      </c>
      <c r="D13" s="7" t="inlineStr">
        <is>
          <t>del 01/11 al 28/11</t>
        </is>
      </c>
      <c r="E13" s="8" t="n">
        <v>46354</v>
      </c>
      <c r="F13" s="7" t="n">
        <v>37</v>
      </c>
      <c r="G13" s="7" t="inlineStr">
        <is>
          <t>Comercial</t>
        </is>
      </c>
    </row>
    <row r="14">
      <c r="A14" s="7" t="inlineStr">
        <is>
          <t>Cartera financiera</t>
        </is>
      </c>
      <c r="B14" s="8" t="n">
        <v>46319</v>
      </c>
      <c r="C14" s="8" t="n">
        <v>46336</v>
      </c>
      <c r="D14" s="7" t="inlineStr">
        <is>
          <t>del 11/11 al 28/11</t>
        </is>
      </c>
      <c r="E14" s="8" t="n">
        <v>46354</v>
      </c>
      <c r="F14" s="7" t="n">
        <v>39</v>
      </c>
      <c r="G14" s="7" t="inlineStr">
        <is>
          <t>Cartera financiera</t>
        </is>
      </c>
    </row>
    <row r="15" ht="34" customHeight="1">
      <c r="A15" s="5" t="inlineStr">
        <is>
          <t>Nómina: planes (quincenal), conceptos, parámetros legales 2026, retención por plan, EPS/ARL/pensiones/cesantías/cajas, empleados, períodos, novedades, liquidación (calcular → revisar → aprobar; la aprobación genera el comprobante contable NM) y reportes.</t>
        </is>
      </c>
    </row>
    <row r="16" ht="64" customHeight="1">
      <c r="A16" s="5" t="inlineStr">
        <is>
          <t>Contabilidad (entrega E1 en producción desde el 19/09): configuración inicial con el catálogo PUC Solidario (CUIF de la Supersolidaria, 2.110 cuentas) o PUC Comercial, nivel de movimiento 5 o 6, plan de cuentas con auxiliares propios, tipos de comprobante, períodos, comprobantes y borradores con control de cuatro ojos. Pendiente del proveedor: informes contables y estados financieros (entrega E2) e integración contable automática de Cartera, Inventario/Comercial, Tesorería y CDT (entrega E3), ambas con fecha por confirmar.</t>
        </is>
      </c>
    </row>
    <row r="17" ht="34" customHeight="1">
      <c r="A17" s="5" t="inlineStr">
        <is>
          <t>Comercial (menú Inventario y Tesorería): productos, grupos, bodegas, ubicaciones, puntos de venta, turnos, vendedores, descuentos, listas de precios, comisiones, tipos de movimiento, movimientos, facturación, kardex e inventario valorizado; cheques, facturas CxP/CxC, flujo de caja.</t>
        </is>
      </c>
    </row>
    <row r="18" ht="48" customHeight="1">
      <c r="A18" s="5" t="inlineStr">
        <is>
          <t>Cartera financiera (créditos y aportes): líneas de crédito, códigos de movimiento, tasas, provisión y calificación, zonas, SIPLA, periodicidad, cuentas de cartera, asociados, solicitudes, desembolsos, recaudos, mora y cobro, causación, calificación, descuento por nómina, extractos y cartera por edades. Fuera de alcance en esta implementación: ahorros a la vista y CDT (decisión del 19/09).</t>
        </is>
      </c>
    </row>
    <row r="19" ht="34" customHeight="1">
      <c r="A19" s="5" t="inlineStr">
        <is>
          <t>Transversal: usuarios, roles y permisos (administrador, Operador —digita, no contabiliza—, sólo lectura, Auditor), segundo factor obligatorio, sucursales, auditoría, maestros (personas, agencias, ciudades, bancos, centros de costo, cargos) y manual en línea.</t>
        </is>
      </c>
    </row>
    <row r="21">
      <c r="A21" s="4" t="inlineStr">
        <is>
          <t>3. Fechas clave e hitos</t>
        </is>
      </c>
    </row>
    <row r="22" ht="32" customHeight="1">
      <c r="A22" s="6" t="inlineStr">
        <is>
          <t>Fecha</t>
        </is>
      </c>
      <c r="B22" s="6" t="inlineStr">
        <is>
          <t>Día</t>
        </is>
      </c>
      <c r="C22" s="6" t="inlineStr">
        <is>
          <t>Hito</t>
        </is>
      </c>
      <c r="D22" s="6" t="inlineStr">
        <is>
          <t>Módulo</t>
        </is>
      </c>
      <c r="E22" s="6" t="inlineStr">
        <is>
          <t>Nº</t>
        </is>
      </c>
    </row>
    <row r="23">
      <c r="A23" s="8" t="n">
        <v>46291</v>
      </c>
      <c r="B23" s="7" t="inlineStr">
        <is>
          <t>sábado</t>
        </is>
      </c>
      <c r="C23" s="7" t="inlineStr">
        <is>
          <t>Fin de parametrización de Nómina</t>
        </is>
      </c>
      <c r="D23" s="7" t="inlineStr">
        <is>
          <t>Nómina</t>
        </is>
      </c>
      <c r="E23" s="7" t="inlineStr">
        <is>
          <t>N13</t>
        </is>
      </c>
    </row>
    <row r="24">
      <c r="A24" s="8" t="n">
        <v>46304</v>
      </c>
      <c r="B24" s="7" t="inlineStr">
        <is>
          <t>viernes</t>
        </is>
      </c>
      <c r="C24" s="7" t="inlineStr">
        <is>
          <t>Catálogo PUC validado por la contadora</t>
        </is>
      </c>
      <c r="D24" s="7" t="inlineStr">
        <is>
          <t>Contabilidad</t>
        </is>
      </c>
      <c r="E24" s="7" t="inlineStr">
        <is>
          <t>C05</t>
        </is>
      </c>
    </row>
    <row r="25">
      <c r="A25" s="8" t="n">
        <v>46310</v>
      </c>
      <c r="B25" s="7" t="inlineStr">
        <is>
          <t>jueves</t>
        </is>
      </c>
      <c r="C25" s="7" t="inlineStr">
        <is>
          <t>Primera nómina liquidada en paralelo</t>
        </is>
      </c>
      <c r="D25" s="7" t="inlineStr">
        <is>
          <t>Nómina</t>
        </is>
      </c>
      <c r="E25" s="7" t="inlineStr">
        <is>
          <t>N23</t>
        </is>
      </c>
    </row>
    <row r="26">
      <c r="A26" s="8" t="n">
        <v>46311</v>
      </c>
      <c r="B26" s="7" t="inlineStr">
        <is>
          <t>viernes</t>
        </is>
      </c>
      <c r="C26" s="7" t="inlineStr">
        <is>
          <t>Cuadre de la primera nómina frente al aplicativo actual</t>
        </is>
      </c>
      <c r="D26" s="7" t="inlineStr">
        <is>
          <t>Nómina</t>
        </is>
      </c>
      <c r="E26" s="7" t="inlineStr">
        <is>
          <t>N25</t>
        </is>
      </c>
    </row>
    <row r="27">
      <c r="A27" s="8" t="n">
        <v>46312</v>
      </c>
      <c r="B27" s="7" t="inlineStr">
        <is>
          <t>sábado</t>
        </is>
      </c>
      <c r="C27" s="7" t="inlineStr">
        <is>
          <t>Plan de cuentas listo para Nómina, Cartera y Comercial</t>
        </is>
      </c>
      <c r="D27" s="7" t="inlineStr">
        <is>
          <t>Contabilidad</t>
        </is>
      </c>
      <c r="E27" s="7" t="inlineStr">
        <is>
          <t>C08</t>
        </is>
      </c>
    </row>
    <row r="28">
      <c r="A28" s="8" t="n">
        <v>46326</v>
      </c>
      <c r="B28" s="7" t="inlineStr">
        <is>
          <t>sábado</t>
        </is>
      </c>
      <c r="C28" s="7" t="inlineStr">
        <is>
          <t>Fin de parametrización de Contabilidad</t>
        </is>
      </c>
      <c r="D28" s="7" t="inlineStr">
        <is>
          <t>Contabilidad</t>
        </is>
      </c>
      <c r="E28" s="7" t="inlineStr">
        <is>
          <t>C17</t>
        </is>
      </c>
    </row>
    <row r="29">
      <c r="A29" s="8" t="n">
        <v>46326</v>
      </c>
      <c r="B29" s="7" t="inlineStr">
        <is>
          <t>sábado</t>
        </is>
      </c>
      <c r="C29" s="7" t="inlineStr">
        <is>
          <t>Fin de parametrización de Comercial</t>
        </is>
      </c>
      <c r="D29" s="7" t="inlineStr">
        <is>
          <t>Comercial</t>
        </is>
      </c>
      <c r="E29" s="7" t="inlineStr">
        <is>
          <t>M14</t>
        </is>
      </c>
    </row>
    <row r="30">
      <c r="A30" s="8" t="n">
        <v>46330</v>
      </c>
      <c r="B30" s="7" t="inlineStr">
        <is>
          <t>miércoles</t>
        </is>
      </c>
      <c r="C30" s="7" t="inlineStr">
        <is>
          <t>Primer comprobante contable de nómina (NM) verificado</t>
        </is>
      </c>
      <c r="D30" s="7" t="inlineStr">
        <is>
          <t>Nómina</t>
        </is>
      </c>
      <c r="E30" s="7" t="inlineStr">
        <is>
          <t>N29</t>
        </is>
      </c>
    </row>
    <row r="31">
      <c r="A31" s="8" t="n">
        <v>46336</v>
      </c>
      <c r="B31" s="7" t="inlineStr">
        <is>
          <t>martes</t>
        </is>
      </c>
      <c r="C31" s="7" t="inlineStr">
        <is>
          <t>Fin de parametrización de Cartera</t>
        </is>
      </c>
      <c r="D31" s="7" t="inlineStr">
        <is>
          <t>Cartera financiera</t>
        </is>
      </c>
      <c r="E31" s="7" t="inlineStr">
        <is>
          <t>K16</t>
        </is>
      </c>
    </row>
    <row r="32">
      <c r="A32" s="8" t="n">
        <v>46354</v>
      </c>
      <c r="B32" s="7" t="inlineStr">
        <is>
          <t>sábado</t>
        </is>
      </c>
      <c r="C32" s="7" t="inlineStr">
        <is>
          <t>Corte del paralelo de Nómina</t>
        </is>
      </c>
      <c r="D32" s="7" t="inlineStr">
        <is>
          <t>Nómina</t>
        </is>
      </c>
      <c r="E32" s="7" t="inlineStr">
        <is>
          <t>N38</t>
        </is>
      </c>
    </row>
    <row r="33">
      <c r="A33" s="8" t="n">
        <v>46354</v>
      </c>
      <c r="B33" s="7" t="inlineStr">
        <is>
          <t>sábado</t>
        </is>
      </c>
      <c r="C33" s="7" t="inlineStr">
        <is>
          <t>Corte del paralelo</t>
        </is>
      </c>
      <c r="D33" s="7" t="inlineStr">
        <is>
          <t>Contabilidad</t>
        </is>
      </c>
      <c r="E33" s="7" t="inlineStr">
        <is>
          <t>C41</t>
        </is>
      </c>
    </row>
    <row r="34">
      <c r="A34" s="8" t="n">
        <v>46354</v>
      </c>
      <c r="B34" s="7" t="inlineStr">
        <is>
          <t>sábado</t>
        </is>
      </c>
      <c r="C34" s="7" t="inlineStr">
        <is>
          <t>Corte del paralelo</t>
        </is>
      </c>
      <c r="D34" s="7" t="inlineStr">
        <is>
          <t>Comercial</t>
        </is>
      </c>
      <c r="E34" s="7" t="inlineStr">
        <is>
          <t>M35</t>
        </is>
      </c>
    </row>
    <row r="35">
      <c r="A35" s="8" t="n">
        <v>46354</v>
      </c>
      <c r="B35" s="7" t="inlineStr">
        <is>
          <t>sábado</t>
        </is>
      </c>
      <c r="C35" s="7" t="inlineStr">
        <is>
          <t>Corte del paralelo</t>
        </is>
      </c>
      <c r="D35" s="7" t="inlineStr">
        <is>
          <t>Cartera financiera</t>
        </is>
      </c>
      <c r="E35" s="7" t="inlineStr">
        <is>
          <t>K37</t>
        </is>
      </c>
    </row>
    <row r="36">
      <c r="A36" s="8" t="n">
        <v>46357</v>
      </c>
      <c r="B36" s="7" t="inlineStr">
        <is>
          <t>martes</t>
        </is>
      </c>
      <c r="C36" s="7" t="inlineStr">
        <is>
          <t>Salida en vivo — sólo IngenIA365ERP</t>
        </is>
      </c>
      <c r="D36" s="7" t="inlineStr">
        <is>
          <t>Gestión del proyecto</t>
        </is>
      </c>
      <c r="E36" s="7" t="inlineStr">
        <is>
          <t>G10</t>
        </is>
      </c>
    </row>
    <row r="37">
      <c r="A37" s="8" t="n">
        <v>46357</v>
      </c>
      <c r="B37" s="7" t="inlineStr">
        <is>
          <t>martes</t>
        </is>
      </c>
      <c r="C37" s="7" t="inlineStr">
        <is>
          <t>Salida en vivo: la 1ª quincena de diciembre se liquida sólo en IngenIA365ERP</t>
        </is>
      </c>
      <c r="D37" s="7" t="inlineStr">
        <is>
          <t>Nómina</t>
        </is>
      </c>
      <c r="E37" s="7" t="inlineStr">
        <is>
          <t>N39</t>
        </is>
      </c>
    </row>
    <row r="38">
      <c r="A38" s="8" t="n">
        <v>46357</v>
      </c>
      <c r="B38" s="7" t="inlineStr">
        <is>
          <t>martes</t>
        </is>
      </c>
      <c r="C38" s="7" t="inlineStr">
        <is>
          <t>Salida en vivo</t>
        </is>
      </c>
      <c r="D38" s="7" t="inlineStr">
        <is>
          <t>Contabilidad</t>
        </is>
      </c>
      <c r="E38" s="7" t="inlineStr">
        <is>
          <t>C42</t>
        </is>
      </c>
    </row>
    <row r="39">
      <c r="A39" s="8" t="n">
        <v>46357</v>
      </c>
      <c r="B39" s="7" t="inlineStr">
        <is>
          <t>martes</t>
        </is>
      </c>
      <c r="C39" s="7" t="inlineStr">
        <is>
          <t>Salida en vivo: ventas y movimientos sólo en el nuevo</t>
        </is>
      </c>
      <c r="D39" s="7" t="inlineStr">
        <is>
          <t>Comercial</t>
        </is>
      </c>
      <c r="E39" s="7" t="inlineStr">
        <is>
          <t>M36</t>
        </is>
      </c>
    </row>
    <row r="40">
      <c r="A40" s="8" t="n">
        <v>46357</v>
      </c>
      <c r="B40" s="7" t="inlineStr">
        <is>
          <t>martes</t>
        </is>
      </c>
      <c r="C40" s="7" t="inlineStr">
        <is>
          <t>Salida en vivo</t>
        </is>
      </c>
      <c r="D40" s="7" t="inlineStr">
        <is>
          <t>Cartera financiera</t>
        </is>
      </c>
      <c r="E40" s="7" t="inlineStr">
        <is>
          <t>K38</t>
        </is>
      </c>
    </row>
    <row r="41">
      <c r="A41" s="8" t="n">
        <v>46358</v>
      </c>
      <c r="B41" s="7" t="inlineStr">
        <is>
          <t>miércoles</t>
        </is>
      </c>
      <c r="C41" s="7" t="inlineStr">
        <is>
          <t>Saldos de cartera y aportes al 30/11 conciliados</t>
        </is>
      </c>
      <c r="D41" s="7" t="inlineStr">
        <is>
          <t>Cartera financiera</t>
        </is>
      </c>
      <c r="E41" s="7" t="inlineStr">
        <is>
          <t>K35</t>
        </is>
      </c>
    </row>
    <row r="42">
      <c r="A42" s="8" t="n">
        <v>46360</v>
      </c>
      <c r="B42" s="7" t="inlineStr">
        <is>
          <t>viernes</t>
        </is>
      </c>
      <c r="C42" s="7" t="inlineStr">
        <is>
          <t>Saldos al 30/11 cargados y conciliados</t>
        </is>
      </c>
      <c r="D42" s="7" t="inlineStr">
        <is>
          <t>Contabilidad</t>
        </is>
      </c>
      <c r="E42" s="7" t="inlineStr">
        <is>
          <t>C38</t>
        </is>
      </c>
    </row>
    <row r="43" ht="34" customHeight="1">
      <c r="A43" s="5" t="inlineStr">
        <is>
          <t>Festivos en el período (sin capacitaciones): lunes 12/10, lunes 02/11, lunes 16/11 y martes 08/12. Hoy es sábado 19/09/2026: la primera semana de Nómina ya transcurrió y sus tareas figuran «Por confirmar».</t>
        </is>
      </c>
    </row>
    <row r="45">
      <c r="A45" s="4" t="inlineStr">
        <is>
          <t>4. Roles y personas</t>
        </is>
      </c>
    </row>
    <row r="46" ht="32" customHeight="1">
      <c r="A46" s="6" t="inlineStr">
        <is>
          <t>Rol</t>
        </is>
      </c>
      <c r="B46" s="6" t="inlineStr">
        <is>
          <t>Nombre</t>
        </is>
      </c>
      <c r="C46" s="6" t="inlineStr">
        <is>
          <t>Módulo / ámbito</t>
        </is>
      </c>
      <c r="D46" s="6" t="inlineStr">
        <is>
          <t>Responsabilidad en el plan</t>
        </is>
      </c>
    </row>
    <row r="47">
      <c r="A47" s="7" t="inlineStr">
        <is>
          <t>Gerencia</t>
        </is>
      </c>
      <c r="B47" s="7" t="inlineStr">
        <is>
          <t>COOFLOPAL</t>
        </is>
      </c>
      <c r="C47" s="7" t="inlineStr">
        <is>
          <t>Todos</t>
        </is>
      </c>
      <c r="D47" s="7" t="inlineStr">
        <is>
          <t>Patrocina el proyecto, designa a las personas, decide la salida en vivo (go / no-go).</t>
        </is>
      </c>
    </row>
    <row r="48">
      <c r="A48" s="7" t="inlineStr">
        <is>
          <t>Gestor del proyecto (por la empresa)</t>
        </is>
      </c>
      <c r="B48" s="7" t="inlineStr">
        <is>
          <t>Por designar (G01)</t>
        </is>
      </c>
      <c r="C48" s="7" t="inlineStr">
        <is>
          <t>Todos</t>
        </is>
      </c>
      <c r="D48" s="7" t="inlineStr">
        <is>
          <t>Vela por el cumplimiento de las tareas y fechas; lleva la bitácora; dirige el seguimiento semanal; escala desvíos.</t>
        </is>
      </c>
    </row>
    <row r="49">
      <c r="A49" s="7" t="inlineStr">
        <is>
          <t>Contadora</t>
        </is>
      </c>
      <c r="B49" s="7" t="inlineStr">
        <is>
          <t>Rafaela Lastra España</t>
        </is>
      </c>
      <c r="C49" s="7" t="inlineStr">
        <is>
          <t>Contabilidad (líder); apoyo a Nómina, Comercial y Cartera</t>
        </is>
      </c>
      <c r="D49" s="7" t="inlineStr">
        <is>
          <t>Decide la configuración contable, valida el catálogo, define las cuentas por concepto y de cartera/inventario, concilia saldos al 30/11.</t>
        </is>
      </c>
    </row>
    <row r="50">
      <c r="A50" s="7" t="inlineStr">
        <is>
          <t>Auxiliar contable</t>
        </is>
      </c>
      <c r="B50" s="7" t="inlineStr">
        <is>
          <t>Por designar</t>
        </is>
      </c>
      <c r="C50" s="7" t="inlineStr">
        <is>
          <t>Contabilidad (2ª persona)</t>
        </is>
      </c>
      <c r="D50" s="7" t="inlineStr">
        <is>
          <t>Digita comprobantes y terceros; la contadora contabiliza (cuatro ojos).</t>
        </is>
      </c>
    </row>
    <row r="51">
      <c r="A51" s="7" t="inlineStr">
        <is>
          <t>Equipo Nómina</t>
        </is>
      </c>
      <c r="B51" s="7" t="inlineStr">
        <is>
          <t>2 personas, por designar</t>
        </is>
      </c>
      <c r="C51" s="7" t="inlineStr">
        <is>
          <t>Nómina</t>
        </is>
      </c>
      <c r="D51" s="7" t="inlineStr">
        <is>
          <t>Parametriza, liquida en paralelo, compara y registra diferencias.</t>
        </is>
      </c>
    </row>
    <row r="52">
      <c r="A52" s="7" t="inlineStr">
        <is>
          <t>Equipo Comercial</t>
        </is>
      </c>
      <c r="B52" s="7" t="inlineStr">
        <is>
          <t>2 personas, por designar</t>
        </is>
      </c>
      <c r="C52" s="7" t="inlineStr">
        <is>
          <t>Comercial / Inventario / Tesorería</t>
        </is>
      </c>
      <c r="D52" s="7" t="inlineStr">
        <is>
          <t>Parametriza, registra la muestra del paralelo, toma física e inventario inicial.</t>
        </is>
      </c>
    </row>
    <row r="53">
      <c r="A53" s="7" t="inlineStr">
        <is>
          <t>Equipo Cartera</t>
        </is>
      </c>
      <c r="B53" s="7" t="inlineStr">
        <is>
          <t>2 personas, por designar</t>
        </is>
      </c>
      <c r="C53" s="7" t="inlineStr">
        <is>
          <t>Cartera financiera</t>
        </is>
      </c>
      <c r="D53" s="7" t="inlineStr">
        <is>
          <t>Parametriza, registra la muestra del paralelo, precarga créditos y aportes.</t>
        </is>
      </c>
    </row>
    <row r="54">
      <c r="A54" s="7" t="inlineStr">
        <is>
          <t>IngenIA 365</t>
        </is>
      </c>
      <c r="B54" s="7" t="inlineStr">
        <is>
          <t>Jorman Copete</t>
        </is>
      </c>
      <c r="C54" s="7" t="inlineStr">
        <is>
          <t>Proveedor</t>
        </is>
      </c>
      <c r="D54" s="7" t="inlineStr">
        <is>
          <t>Capacita, acompaña la parametrización, entrega E2 y E3, soporta la salida en vivo.</t>
        </is>
      </c>
    </row>
    <row r="55" ht="34" customHeight="1">
      <c r="A55" s="5" t="inlineStr">
        <is>
          <t>Regla fijada por el dueño del producto: mínimo 2 personas por módulo en capacitación e implementación (continuidad y cumplimiento de fechas) y una persona de la empresa encargada de la gestión del proyecto.</t>
        </is>
      </c>
    </row>
    <row r="57">
      <c r="A57" s="4" t="inlineStr">
        <is>
          <t>5. Capacitación</t>
        </is>
      </c>
    </row>
    <row r="58" ht="48" customHeight="1">
      <c r="A58" s="5" t="inlineStr">
        <is>
          <t>Los sábados, por proceso, presencial o virtual; también otros días de la semana según acuerdo. Horario y modalidad: acordado entre las partes (gerencia e IngenIA, 19/09). El calendario completo de sesiones está en la hoja Consolidado. Cada sesión se hace con los datos reales de la cooperativa y termina con un ejercicio en el sistema; el Manual en línea (/manual) queda como referencia permanente.</t>
        </is>
      </c>
    </row>
    <row r="60">
      <c r="A60" s="4" t="inlineStr">
        <is>
          <t>6. Regla del paralelo</t>
        </is>
      </c>
    </row>
    <row r="61" ht="64" customHeight="1">
      <c r="A61" s="5" t="inlineStr">
        <is>
          <t>Nómina: cada quincena de octubre y noviembre se liquida en ambos sistemas y se compara empleado por empleado (ciclo de calibración con la 2ª quincena de septiembre). Contabilidad, Comercial y Cartera: no se replica toda la operación, sólo las transacciones más importantes y las que cubren todos los casos de la entidad. En cada ciclo hay una tarea de «comparar con el aplicativo actual y registrar diferencias»; toda diferencia va a la bitácora con causa, responsable y cierre. El 28/11 se corta el paralelo y el comité go / no-go decide la salida en vivo.</t>
        </is>
      </c>
    </row>
    <row r="63">
      <c r="A63" s="4" t="inlineStr">
        <is>
          <t>7. Riesgos y mitigación</t>
        </is>
      </c>
    </row>
    <row r="64" ht="32" customHeight="1">
      <c r="A64" s="6" t="inlineStr">
        <is>
          <t>Riesgo</t>
        </is>
      </c>
      <c r="B64" s="6" t="inlineStr">
        <is>
          <t>Impacto</t>
        </is>
      </c>
      <c r="C64" s="6" t="inlineStr">
        <is>
          <t>Mitigación</t>
        </is>
      </c>
      <c r="D64" s="6" t="inlineStr">
        <is>
          <t>Responsable</t>
        </is>
      </c>
    </row>
    <row r="65">
      <c r="A65" s="7" t="inlineStr">
        <is>
          <t>Disponibilidad de las 2 personas por módulo (vacaciones, cargas de cierre, retiros)</t>
        </is>
      </c>
      <c r="B65" s="7" t="inlineStr">
        <is>
          <t>Retraso de la parametrización o del paralelo</t>
        </is>
      </c>
      <c r="C65" s="7" t="inlineStr">
        <is>
          <t>Suplentes designados desde G01; sesiones virtuales grabadas cuando la modalidad lo permita; seguimiento semanal con escalamiento a Gerencia</t>
        </is>
      </c>
      <c r="D65" s="7" t="inlineStr">
        <is>
          <t>Gerencia / Gestor</t>
        </is>
      </c>
    </row>
    <row r="66">
      <c r="A66" s="7" t="inlineStr">
        <is>
          <t>Dependencia del proveedor: entregas E2 (informes contables) y E3 (integración automática) sin fecha</t>
        </is>
      </c>
      <c r="B66" s="7" t="inlineStr">
        <is>
          <t>Comparación de saldos más lenta; contabilización manual de Cartera y Comercial</t>
        </is>
      </c>
      <c r="C66" s="7" t="inlineStr">
        <is>
          <t>Confirmar fechas en la primera semana (G07); comparar por comprobantes y exportación; comprobante resumen manual (C35) hasta E3</t>
        </is>
      </c>
      <c r="D66" s="7" t="inlineStr">
        <is>
          <t>IngenIA / Contadora</t>
        </is>
      </c>
    </row>
    <row r="67">
      <c r="A67" s="7" t="inlineStr">
        <is>
          <t>Calidad de los datos del aplicativo actual (terceros duplicados, cuentas sin homologar, productos inactivos)</t>
        </is>
      </c>
      <c r="B67" s="7" t="inlineStr">
        <is>
          <t>Diferencias falsas en el paralelo; retrabajo</t>
        </is>
      </c>
      <c r="C67" s="7" t="inlineStr">
        <is>
          <t>Levantamiento y depuración en la fase de preparación; mapa de cuentas y de conceptos; verificación cruzada antes de cada hito de parametrización</t>
        </is>
      </c>
      <c r="D67" s="7" t="inlineStr">
        <is>
          <t>Equipos / Gestor</t>
        </is>
      </c>
    </row>
    <row r="68">
      <c r="A68" s="7" t="inlineStr">
        <is>
          <t>Carga de saldos iniciales concentrada entre el 28/11 y el 04/12</t>
        </is>
      </c>
      <c r="B68" s="7" t="inlineStr">
        <is>
          <t>Salida en vivo con saldos incompletos</t>
        </is>
      </c>
      <c r="C68" s="7" t="inlineStr">
        <is>
          <t>Precarga de créditos y aportes con saldos al 27/11 y ajuste de los movimientos del 28 al 30/11; si el volumen supera lo supuesto, importación asistida por IngenIA</t>
        </is>
      </c>
      <c r="D68" s="7" t="inlineStr">
        <is>
          <t>Equipo Cartera / Contadora</t>
        </is>
      </c>
    </row>
    <row r="69">
      <c r="A69" s="7" t="inlineStr">
        <is>
          <t>Festivos (12/10, 02/11, 16/11, 08/12) y eventos de la cooperativa en sábados</t>
        </is>
      </c>
      <c r="B69" s="7" t="inlineStr">
        <is>
          <t>Menos días efectivos; sesiones perdidas</t>
        </is>
      </c>
      <c r="C69" s="7" t="inlineStr">
        <is>
          <t>No se programan sesiones en festivos; los ciclos ya descuentan esos días; el sábado sin sesión asignada se usa para recuperar</t>
        </is>
      </c>
      <c r="D69" s="7" t="inlineStr">
        <is>
          <t>Gestor</t>
        </is>
      </c>
    </row>
    <row r="70">
      <c r="A70" s="7" t="inlineStr">
        <is>
          <t>Cierre de noviembre del aplicativo actual después del 01/12</t>
        </is>
      </c>
      <c r="B70" s="7" t="inlineStr">
        <is>
          <t>Saldos iniciales provisionales</t>
        </is>
      </c>
      <c r="C70" s="7" t="inlineStr">
        <is>
          <t>Comprobante de apertura con saldos preliminares y comprobante de ajuste posterior (C37)</t>
        </is>
      </c>
      <c r="D70" s="7" t="inlineStr">
        <is>
          <t>Contadora</t>
        </is>
      </c>
    </row>
    <row r="71">
      <c r="A71" s="7" t="inlineStr">
        <is>
          <t>Alcance por confirmar: información para PILA (N35) y facturación electrónica DIAN (M27)</t>
        </is>
      </c>
      <c r="B71" s="7" t="inlineStr">
        <is>
          <t>Procesos que seguirían fuera del sistema</t>
        </is>
      </c>
      <c r="C71" s="7" t="inlineStr">
        <is>
          <t>Confirmar con IngenIA en octubre y documentar el procedimiento transitorio</t>
        </is>
      </c>
      <c r="D71" s="7" t="inlineStr">
        <is>
          <t>IngenIA / Equipos</t>
        </is>
      </c>
    </row>
    <row r="72">
      <c r="A72" s="7" t="inlineStr">
        <is>
          <t>Segundo factor obligatorio: personas sin celular compatible</t>
        </is>
      </c>
      <c r="B72" s="7" t="inlineStr">
        <is>
          <t>Usuarios sin acceso</t>
        </is>
      </c>
      <c r="C72" s="7" t="inlineStr">
        <is>
          <t>Definir método (TOTP o passkey) al crear cada usuario (G03)</t>
        </is>
      </c>
      <c r="D72" s="7" t="inlineStr">
        <is>
          <t>Administrador</t>
        </is>
      </c>
    </row>
    <row r="73">
      <c r="A73" s="7" t="inlineStr">
        <is>
          <t>Resistencia al cambio de hábitos</t>
        </is>
      </c>
      <c r="B73" s="7" t="inlineStr">
        <is>
          <t>Uso paralelo informal del aplicativo viejo después del 01/12</t>
        </is>
      </c>
      <c r="C73" s="7" t="inlineStr">
        <is>
          <t>Comunicados de inicio y de salida en vivo; aplicativo actual en solo lectura desde el 01/12; acompañamiento la primera semana</t>
        </is>
      </c>
      <c r="D73" s="7" t="inlineStr">
        <is>
          <t>Gerencia / Gestor</t>
        </is>
      </c>
    </row>
    <row r="75">
      <c r="A75" s="4" t="inlineStr">
        <is>
          <t>8. Supuestos (marcados «supuesto» hasta que se confirmen)</t>
        </is>
      </c>
    </row>
    <row r="76" ht="32" customHeight="1">
      <c r="A76" s="6" t="inlineStr">
        <is>
          <t>Supuesto</t>
        </is>
      </c>
      <c r="B76" s="6" t="inlineStr">
        <is>
          <t>Origen / estado</t>
        </is>
      </c>
    </row>
    <row r="77">
      <c r="A77" s="7" t="inlineStr">
        <is>
          <t>Nómina quincenal, con un solo plan de nómina; primera quincena en paralelo formal = 1 al 15 de octubre</t>
        </is>
      </c>
      <c r="B77" s="7" t="inlineStr">
        <is>
          <t>Decisión del dueño del producto (19/09)</t>
        </is>
      </c>
    </row>
    <row r="78">
      <c r="A78" s="7" t="inlineStr">
        <is>
          <t>El paralelo contable incluye las nóminas de octubre y noviembre y cubre ventas, compras, caja, bancos, causaciones y egresos</t>
        </is>
      </c>
      <c r="B78" s="7" t="inlineStr">
        <is>
          <t>Decisión del dueño del producto (19/09)</t>
        </is>
      </c>
    </row>
    <row r="79">
      <c r="A79" s="7" t="inlineStr">
        <is>
          <t>Cartera: sólo créditos y aportes; ahorros a la vista y CDT fuera de alcance</t>
        </is>
      </c>
      <c r="B79" s="7" t="inlineStr">
        <is>
          <t>Decisión del dueño del producto (19/09)</t>
        </is>
      </c>
    </row>
    <row r="80">
      <c r="A80" s="7" t="inlineStr">
        <is>
          <t>Volumen: menos de 500 asociados y menos de 300 créditos vigentes; número de empleados y de productos por confirmar</t>
        </is>
      </c>
      <c r="B80" s="7" t="inlineStr">
        <is>
          <t>Supuesto — confirmar en el levantamiento (M02, K02)</t>
        </is>
      </c>
    </row>
    <row r="81">
      <c r="A81" s="7" t="inlineStr">
        <is>
          <t>Saldos iniciales al 30/11 digitados desde el aplicativo actual y conciliados por la contadora y el responsable de cada módulo</t>
        </is>
      </c>
      <c r="B81" s="7" t="inlineStr">
        <is>
          <t>Decisión del dueño del producto (19/09)</t>
        </is>
      </c>
    </row>
    <row r="82">
      <c r="A82" s="7" t="inlineStr">
        <is>
          <t>Horario y modalidad de las capacitaciones</t>
        </is>
      </c>
      <c r="B82" s="7" t="inlineStr">
        <is>
          <t>Acordado entre las partes (gerencia e IngenIA, 19/09)</t>
        </is>
      </c>
    </row>
    <row r="83">
      <c r="A83" s="7" t="inlineStr">
        <is>
          <t>Gestor del proyecto, auxiliar contable y equipos por módulo</t>
        </is>
      </c>
      <c r="B83" s="7" t="inlineStr">
        <is>
          <t>Por designar (G01)</t>
        </is>
      </c>
    </row>
    <row r="84">
      <c r="A84" s="7" t="inlineStr">
        <is>
          <t>Contabilidad con catálogo PUC Solidario (CUIF); nivel de movimiento por decidir con la contadora (C02)</t>
        </is>
      </c>
      <c r="B84" s="7" t="inlineStr">
        <is>
          <t>Supuesto — decisión en C02</t>
        </is>
      </c>
    </row>
    <row r="85">
      <c r="A85" s="7" t="inlineStr">
        <is>
          <t>Entrega E1 de Contabilidad en producción desde el 19/09; E2 y E3 con fecha por confirmar</t>
        </is>
      </c>
      <c r="B85" s="7" t="inlineStr">
        <is>
          <t>Estado del producto al 19/09</t>
        </is>
      </c>
    </row>
    <row r="86">
      <c r="A86" s="7" t="inlineStr">
        <is>
          <t>Los movimientos de Cartera y Comercial se contabilizan con comprobantes resumen hasta la entrega E3</t>
        </is>
      </c>
      <c r="B86" s="7" t="inlineStr">
        <is>
          <t>Supuesto — procedimiento en C35</t>
        </is>
      </c>
    </row>
    <row r="88">
      <c r="A88" s="4" t="inlineStr">
        <is>
          <t>9. Cómo usar este libro</t>
        </is>
      </c>
    </row>
    <row r="89" ht="64" customHeight="1">
      <c r="A89" s="5" t="inlineStr">
        <is>
          <t>Cada módulo tiene su hoja con tareas por fase (Nº, fase, tarea, descripción, responsable, apoyo, fechas, duración, dependencia, criterio de listo, estado y observaciones). El estado se elige de una lista (Pendiente, En curso, Terminada, Bloqueada, Por confirmar) y se colorea solo. La hoja Consolidado reúne todas las tareas ordenadas por fecha con el cronograma semanal: el sombreado sale del formato condicional, así que al cambiar una fecha el cronograma se actualiza. Los filtros están activos en los encabezados y los paneles quedan inmovilizados. Sin macros.</t>
        </is>
      </c>
    </row>
    <row r="91" ht="30" customHeight="1">
      <c r="A91" s="9" t="inlineStr">
        <is>
          <t>Leyenda de fases:</t>
        </is>
      </c>
      <c r="B91" s="10" t="inlineStr">
        <is>
          <t>Preparación y parametrización</t>
        </is>
      </c>
      <c r="C91" s="11" t="inlineStr">
        <is>
          <t>Capacitación</t>
        </is>
      </c>
      <c r="D91" s="12" t="inlineStr">
        <is>
          <t>Paralelo con el aplicativo actual</t>
        </is>
      </c>
      <c r="E91" s="13" t="inlineStr">
        <is>
          <t>Cierre y salida en vivo</t>
        </is>
      </c>
      <c r="F91" s="14" t="inlineStr">
        <is>
          <t>Gestión del proyecto</t>
        </is>
      </c>
      <c r="G91" s="15" t="inlineStr">
        <is>
          <t>◆ Hito</t>
        </is>
      </c>
    </row>
  </sheetData>
  <mergeCells count="13">
    <mergeCell ref="A18:H18"/>
    <mergeCell ref="A4:H4"/>
    <mergeCell ref="A55:H55"/>
    <mergeCell ref="A15:H15"/>
    <mergeCell ref="A7:H7"/>
    <mergeCell ref="A43:H43"/>
    <mergeCell ref="A16:H16"/>
    <mergeCell ref="A2:H2"/>
    <mergeCell ref="A19:H19"/>
    <mergeCell ref="A89:H89"/>
    <mergeCell ref="A61:H61"/>
    <mergeCell ref="A58:H58"/>
    <mergeCell ref="A17:H17"/>
  </mergeCells>
  <pageMargins left="0.75" right="0.75" top="1" bottom="1" header="0.5" footer="0.5"/>
  <pageSetup orientation="landscape" paperSize="5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M4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4" customWidth="1" min="3" max="3"/>
    <col width="58" customWidth="1" min="4" max="4"/>
    <col width="34" customWidth="1" min="5" max="5"/>
    <col width="24" customWidth="1" min="6" max="6"/>
    <col width="12" customWidth="1" min="7" max="7"/>
    <col width="12" customWidth="1" min="8" max="8"/>
    <col width="10" customWidth="1" min="9" max="9"/>
    <col width="16" customWidth="1" min="10" max="10"/>
    <col width="48" customWidth="1" min="11" max="11"/>
    <col width="14" customWidth="1" min="12" max="12"/>
    <col width="42" customWidth="1" min="13" max="13"/>
  </cols>
  <sheetData>
    <row r="1">
      <c r="A1" s="1" t="inlineStr">
        <is>
          <t>Nómina — Plan de implementación IngenIA365ERP · COOFLOPAL</t>
        </is>
      </c>
    </row>
    <row r="2">
      <c r="A2" s="16" t="inlineStr">
        <is>
          <t>Del 12/09/2026 al 28/11/2026 · parametrización y configuración hasta el 26/09/2026 · paralelo con el aplicativo actual hasta el 28/11/2026 · salida en vivo 01/12/2026. Duración en días calendario, inclusive. Fechas estimadas: base para la salida en vivo.</t>
        </is>
      </c>
    </row>
    <row r="3" ht="30" customHeight="1">
      <c r="B3" s="9" t="inlineStr">
        <is>
          <t>Leyenda de fases:</t>
        </is>
      </c>
      <c r="C3" s="10" t="inlineStr">
        <is>
          <t>Preparación y parametrización</t>
        </is>
      </c>
      <c r="D3" s="11" t="inlineStr">
        <is>
          <t>Capacitación</t>
        </is>
      </c>
      <c r="E3" s="12" t="inlineStr">
        <is>
          <t>Paralelo con el aplicativo actual</t>
        </is>
      </c>
      <c r="F3" s="13" t="inlineStr">
        <is>
          <t>Cierre y salida en vivo</t>
        </is>
      </c>
      <c r="G3" s="14" t="inlineStr">
        <is>
          <t>Gestión del proyecto</t>
        </is>
      </c>
      <c r="H3" s="15" t="inlineStr">
        <is>
          <t>◆ Hito</t>
        </is>
      </c>
    </row>
    <row r="5" ht="32" customHeight="1">
      <c r="A5" s="6" t="inlineStr">
        <is>
          <t>Nº</t>
        </is>
      </c>
      <c r="B5" s="6" t="inlineStr">
        <is>
          <t>Fase</t>
        </is>
      </c>
      <c r="C5" s="6" t="inlineStr">
        <is>
          <t>Tarea</t>
        </is>
      </c>
      <c r="D5" s="6" t="inlineStr">
        <is>
          <t>Descripción</t>
        </is>
      </c>
      <c r="E5" s="6" t="inlineStr">
        <is>
          <t>Responsable (cooperativa)</t>
        </is>
      </c>
      <c r="F5" s="6" t="inlineStr">
        <is>
          <t>Apoyo IngenIA</t>
        </is>
      </c>
      <c r="G5" s="6" t="inlineStr">
        <is>
          <t>Fecha inicio</t>
        </is>
      </c>
      <c r="H5" s="6" t="inlineStr">
        <is>
          <t>Fecha fin</t>
        </is>
      </c>
      <c r="I5" s="6" t="inlineStr">
        <is>
          <t>Duración (días)</t>
        </is>
      </c>
      <c r="J5" s="6" t="inlineStr">
        <is>
          <t>Dependencia</t>
        </is>
      </c>
      <c r="K5" s="6" t="inlineStr">
        <is>
          <t>Entregable / criterio de listo</t>
        </is>
      </c>
      <c r="L5" s="6" t="inlineStr">
        <is>
          <t>Estado</t>
        </is>
      </c>
      <c r="M5" s="6" t="inlineStr">
        <is>
          <t>Observaciones</t>
        </is>
      </c>
    </row>
    <row r="6">
      <c r="A6" s="17" t="inlineStr">
        <is>
          <t>N01</t>
        </is>
      </c>
      <c r="B6" s="18" t="inlineStr">
        <is>
          <t>Preparación y parametrización</t>
        </is>
      </c>
      <c r="C6" s="7" t="inlineStr">
        <is>
          <t>Acceso al sistema y recorrido inicial</t>
        </is>
      </c>
      <c r="D6" s="7" t="inlineStr">
        <is>
          <t>Crear usuarios y segundo factor (TOTP o passkey) para las 2 personas del equipo; recorrido por el menú de Nómina y el Manual en línea (/manual).</t>
        </is>
      </c>
      <c r="E6" s="7" t="inlineStr">
        <is>
          <t>Equipo Nómina (2 personas, por designar)</t>
        </is>
      </c>
      <c r="F6" s="7" t="inlineStr">
        <is>
          <t>Jorman Copete (IngenIA 365)</t>
        </is>
      </c>
      <c r="G6" s="8" t="n">
        <v>46277</v>
      </c>
      <c r="H6" s="8" t="n">
        <v>46277</v>
      </c>
      <c r="I6" s="17">
        <f>H6-G6+1</f>
        <v/>
      </c>
      <c r="J6" s="7" t="inlineStr"/>
      <c r="K6" s="7" t="inlineStr">
        <is>
          <t>Las 2 personas ingresan a app.ingenia365.com con usuario y segundo factor activos</t>
        </is>
      </c>
      <c r="L6" s="7" t="inlineStr">
        <is>
          <t>Por confirmar</t>
        </is>
      </c>
      <c r="M6" s="7" t="inlineStr">
        <is>
          <t>Semana ya transcurrida: confirmar el avance real con el gestor</t>
        </is>
      </c>
    </row>
    <row r="7">
      <c r="A7" s="17" t="inlineStr">
        <is>
          <t>N02</t>
        </is>
      </c>
      <c r="B7" s="18" t="inlineStr">
        <is>
          <t>Preparación y parametrización</t>
        </is>
      </c>
      <c r="C7" s="7" t="inlineStr">
        <is>
          <t>Plan de nómina quincenal</t>
        </is>
      </c>
      <c r="D7" s="7" t="inlineStr">
        <is>
          <t>Crear el plan en /nomina/planes con periodicidad quincenal, días de corte y fechas de pago.</t>
        </is>
      </c>
      <c r="E7" s="7" t="inlineStr">
        <is>
          <t>Equipo Nómina (2 personas, por designar)</t>
        </is>
      </c>
      <c r="F7" s="7" t="inlineStr">
        <is>
          <t>Jorman Copete (IngenIA 365)</t>
        </is>
      </c>
      <c r="G7" s="8" t="n">
        <v>46279</v>
      </c>
      <c r="H7" s="8" t="n">
        <v>46281</v>
      </c>
      <c r="I7" s="17">
        <f>H7-G7+1</f>
        <v/>
      </c>
      <c r="J7" s="7" t="inlineStr">
        <is>
          <t>N01</t>
        </is>
      </c>
      <c r="K7" s="7" t="inlineStr">
        <is>
          <t>Plan quincenal creado y aprobado por el gestor</t>
        </is>
      </c>
      <c r="L7" s="7" t="inlineStr">
        <is>
          <t>Por confirmar</t>
        </is>
      </c>
      <c r="M7" s="7" t="inlineStr">
        <is>
          <t>Confirmar si existe un segundo plan (p. ej., aprendices u honorarios mensuales). Semana ya transcurrida: confirmar el avance real con el gestor</t>
        </is>
      </c>
    </row>
    <row r="8">
      <c r="A8" s="17" t="inlineStr">
        <is>
          <t>N03</t>
        </is>
      </c>
      <c r="B8" s="18" t="inlineStr">
        <is>
          <t>Preparación y parametrización</t>
        </is>
      </c>
      <c r="C8" s="7" t="inlineStr">
        <is>
          <t>Parámetros legales 2026</t>
        </is>
      </c>
      <c r="D8" s="7" t="inlineStr">
        <is>
          <t>Verificar en /nomina/parametros-legales el SMMLV, el auxilio de transporte, la UVT, la tabla de retención y el FSP frente a la norma vigente.</t>
        </is>
      </c>
      <c r="E8" s="7" t="inlineStr">
        <is>
          <t>Equipo Nómina (2 personas, por designar) + Contadora Rafaela Lastra España</t>
        </is>
      </c>
      <c r="F8" s="7" t="inlineStr">
        <is>
          <t>Jorman Copete (IngenIA 365)</t>
        </is>
      </c>
      <c r="G8" s="8" t="n">
        <v>46279</v>
      </c>
      <c r="H8" s="8" t="n">
        <v>46281</v>
      </c>
      <c r="I8" s="17">
        <f>H8-G8+1</f>
        <v/>
      </c>
      <c r="J8" s="7" t="inlineStr">
        <is>
          <t>N01</t>
        </is>
      </c>
      <c r="K8" s="7" t="inlineStr">
        <is>
          <t>Parámetros verificados; acta breve firmada</t>
        </is>
      </c>
      <c r="L8" s="7" t="inlineStr">
        <is>
          <t>Por confirmar</t>
        </is>
      </c>
      <c r="M8" s="7" t="inlineStr">
        <is>
          <t>Semana ya transcurrida: confirmar el avance real con el gestor</t>
        </is>
      </c>
    </row>
    <row r="9">
      <c r="A9" s="17" t="inlineStr">
        <is>
          <t>N04</t>
        </is>
      </c>
      <c r="B9" s="18" t="inlineStr">
        <is>
          <t>Preparación y parametrización</t>
        </is>
      </c>
      <c r="C9" s="7" t="inlineStr">
        <is>
          <t>Cargos y centros de costo</t>
        </is>
      </c>
      <c r="D9" s="7" t="inlineStr">
        <is>
          <t>Crear o verificar en Maestros los cargos y centros de costo que usa la nómina actual.</t>
        </is>
      </c>
      <c r="E9" s="7" t="inlineStr">
        <is>
          <t>Equipo Nómina (2 personas, por designar)</t>
        </is>
      </c>
      <c r="F9" s="7" t="inlineStr">
        <is>
          <t>Jorman Copete (IngenIA 365)</t>
        </is>
      </c>
      <c r="G9" s="8" t="n">
        <v>46280</v>
      </c>
      <c r="H9" s="8" t="n">
        <v>46282</v>
      </c>
      <c r="I9" s="17">
        <f>H9-G9+1</f>
        <v/>
      </c>
      <c r="J9" s="7" t="inlineStr">
        <is>
          <t>N01</t>
        </is>
      </c>
      <c r="K9" s="7" t="inlineStr">
        <is>
          <t>Todos los cargos y centros de costo de la nómina actual existen en Maestros</t>
        </is>
      </c>
      <c r="L9" s="7" t="inlineStr">
        <is>
          <t>Por confirmar</t>
        </is>
      </c>
      <c r="M9" s="7" t="inlineStr">
        <is>
          <t>Semana ya transcurrida: confirmar el avance real con el gestor</t>
        </is>
      </c>
    </row>
    <row r="10">
      <c r="A10" s="17" t="inlineStr">
        <is>
          <t>N05</t>
        </is>
      </c>
      <c r="B10" s="18" t="inlineStr">
        <is>
          <t>Preparación y parametrización</t>
        </is>
      </c>
      <c r="C10" s="7" t="inlineStr">
        <is>
          <t>Entidades de seguridad social y parafiscales</t>
        </is>
      </c>
      <c r="D10" s="7" t="inlineStr">
        <is>
          <t>Crear EPS, ARL (con la clase de riesgo de la cooperativa), fondos de pensiones, fondos de cesantías y caja de compensación; cada entidad se vincula a su persona (tercero con NIT).</t>
        </is>
      </c>
      <c r="E10" s="7" t="inlineStr">
        <is>
          <t>Equipo Nómina (2 personas, por designar)</t>
        </is>
      </c>
      <c r="F10" s="7" t="inlineStr">
        <is>
          <t>Jorman Copete (IngenIA 365)</t>
        </is>
      </c>
      <c r="G10" s="8" t="n">
        <v>46280</v>
      </c>
      <c r="H10" s="8" t="n">
        <v>46284</v>
      </c>
      <c r="I10" s="17">
        <f>H10-G10+1</f>
        <v/>
      </c>
      <c r="J10" s="7" t="inlineStr">
        <is>
          <t>N01</t>
        </is>
      </c>
      <c r="K10" s="7" t="inlineStr">
        <is>
          <t>Todas las entidades a las que cotizan los empleados existen y tienen NIT</t>
        </is>
      </c>
      <c r="L10" s="7" t="inlineStr">
        <is>
          <t>En curso</t>
        </is>
      </c>
      <c r="M10" s="7" t="inlineStr"/>
    </row>
    <row r="11">
      <c r="A11" s="17" t="inlineStr">
        <is>
          <t>N06</t>
        </is>
      </c>
      <c r="B11" s="18" t="inlineStr">
        <is>
          <t>Preparación y parametrización</t>
        </is>
      </c>
      <c r="C11" s="7" t="inlineStr">
        <is>
          <t>Revisión de los 40 conceptos sembrados</t>
        </is>
      </c>
      <c r="D11" s="7" t="inlineStr">
        <is>
          <t>Revisar los conceptos base (devengados, deducciones, provisiones) y desactivar los que no aplican.</t>
        </is>
      </c>
      <c r="E11" s="7" t="inlineStr">
        <is>
          <t>Equipo Nómina (2 personas, por designar)</t>
        </is>
      </c>
      <c r="F11" s="7" t="inlineStr">
        <is>
          <t>Jorman Copete (IngenIA 365)</t>
        </is>
      </c>
      <c r="G11" s="8" t="n">
        <v>46282</v>
      </c>
      <c r="H11" s="8" t="n">
        <v>46284</v>
      </c>
      <c r="I11" s="17">
        <f>H11-G11+1</f>
        <v/>
      </c>
      <c r="J11" s="7" t="inlineStr">
        <is>
          <t>N02</t>
        </is>
      </c>
      <c r="K11" s="7" t="inlineStr">
        <is>
          <t>Lista de conceptos base aprobada; los que no aplican quedan inactivos</t>
        </is>
      </c>
      <c r="L11" s="7" t="inlineStr">
        <is>
          <t>En curso</t>
        </is>
      </c>
      <c r="M11" s="7" t="inlineStr"/>
    </row>
    <row r="12">
      <c r="A12" s="17" t="inlineStr">
        <is>
          <t>N07</t>
        </is>
      </c>
      <c r="B12" s="18" t="inlineStr">
        <is>
          <t>Preparación y parametrización</t>
        </is>
      </c>
      <c r="C12" s="7" t="inlineStr">
        <is>
          <t>Conceptos propios de la cooperativa</t>
        </is>
      </c>
      <c r="D12" s="7" t="inlineStr">
        <is>
          <t>Crear los conceptos que no vienen de fábrica: auxilios, bonificaciones, horas extra según turnos, libranzas, descuentos por aportes y créditos de la cooperativa, embargos.</t>
        </is>
      </c>
      <c r="E12" s="7" t="inlineStr">
        <is>
          <t>Equipo Nómina (2 personas, por designar)</t>
        </is>
      </c>
      <c r="F12" s="7" t="inlineStr">
        <is>
          <t>Jorman Copete (IngenIA 365)</t>
        </is>
      </c>
      <c r="G12" s="8" t="n">
        <v>46286</v>
      </c>
      <c r="H12" s="8" t="n">
        <v>46289</v>
      </c>
      <c r="I12" s="17">
        <f>H12-G12+1</f>
        <v/>
      </c>
      <c r="J12" s="7" t="inlineStr">
        <is>
          <t>N06</t>
        </is>
      </c>
      <c r="K12" s="7" t="inlineStr">
        <is>
          <t>Mapa de conceptos actual → nuevo completo: cada concepto usado en 2026 tiene su equivalente</t>
        </is>
      </c>
      <c r="L12" s="7" t="inlineStr">
        <is>
          <t>Pendiente</t>
        </is>
      </c>
      <c r="M12" s="7" t="inlineStr"/>
    </row>
    <row r="13">
      <c r="A13" s="17" t="inlineStr">
        <is>
          <t>N08</t>
        </is>
      </c>
      <c r="B13" s="18" t="inlineStr">
        <is>
          <t>Preparación y parametrización</t>
        </is>
      </c>
      <c r="C13" s="7" t="inlineStr">
        <is>
          <t>Retención en la fuente por plan</t>
        </is>
      </c>
      <c r="D13" s="7" t="inlineStr">
        <is>
          <t>Configurar en /nomina/parametros-retencion el procedimiento (1 o 2) y los parámetros del plan quincenal.</t>
        </is>
      </c>
      <c r="E13" s="7" t="inlineStr">
        <is>
          <t>Equipo Nómina (2 personas, por designar) + Contadora Rafaela Lastra España</t>
        </is>
      </c>
      <c r="F13" s="7" t="inlineStr">
        <is>
          <t>Jorman Copete (IngenIA 365)</t>
        </is>
      </c>
      <c r="G13" s="8" t="n">
        <v>46286</v>
      </c>
      <c r="H13" s="8" t="n">
        <v>46288</v>
      </c>
      <c r="I13" s="17">
        <f>H13-G13+1</f>
        <v/>
      </c>
      <c r="J13" s="7" t="inlineStr">
        <is>
          <t>N02, N03</t>
        </is>
      </c>
      <c r="K13" s="7" t="inlineStr">
        <is>
          <t>Procedimiento configurado; caso de prueba con un empleado sujeto a retención cuadra con el actual</t>
        </is>
      </c>
      <c r="L13" s="7" t="inlineStr">
        <is>
          <t>Pendiente</t>
        </is>
      </c>
      <c r="M13" s="7" t="inlineStr"/>
    </row>
    <row r="14">
      <c r="A14" s="17" t="inlineStr">
        <is>
          <t>N09</t>
        </is>
      </c>
      <c r="B14" s="18" t="inlineStr">
        <is>
          <t>Preparación y parametrización</t>
        </is>
      </c>
      <c r="C14" s="7" t="inlineStr">
        <is>
          <t>Períodos de pago</t>
        </is>
      </c>
      <c r="D14" s="7" t="inlineStr">
        <is>
          <t>Crear los períodos quincenales de septiembre a diciembre de 2026.</t>
        </is>
      </c>
      <c r="E14" s="7" t="inlineStr">
        <is>
          <t>Equipo Nómina (2 personas, por designar)</t>
        </is>
      </c>
      <c r="F14" s="7" t="inlineStr">
        <is>
          <t>Jorman Copete (IngenIA 365)</t>
        </is>
      </c>
      <c r="G14" s="8" t="n">
        <v>46286</v>
      </c>
      <c r="H14" s="8" t="n">
        <v>46287</v>
      </c>
      <c r="I14" s="17">
        <f>H14-G14+1</f>
        <v/>
      </c>
      <c r="J14" s="7" t="inlineStr">
        <is>
          <t>N02</t>
        </is>
      </c>
      <c r="K14" s="7" t="inlineStr">
        <is>
          <t>Quincenas de septiembre a diciembre creadas</t>
        </is>
      </c>
      <c r="L14" s="7" t="inlineStr">
        <is>
          <t>Pendiente</t>
        </is>
      </c>
      <c r="M14" s="7" t="inlineStr"/>
    </row>
    <row r="15">
      <c r="A15" s="17" t="inlineStr">
        <is>
          <t>N10</t>
        </is>
      </c>
      <c r="B15" s="18" t="inlineStr">
        <is>
          <t>Preparación y parametrización</t>
        </is>
      </c>
      <c r="C15" s="7" t="inlineStr">
        <is>
          <t>Alta de empleados</t>
        </is>
      </c>
      <c r="D15" s="7" t="inlineStr">
        <is>
          <t>Crear la persona y la ficha de cada empleado activo desde /nomina/empleados: contrato, salario, cargo, centro de costo, EPS/AFP/ARL/CCF/cesantías, cuenta bancaria y fecha de ingreso.</t>
        </is>
      </c>
      <c r="E15" s="7" t="inlineStr">
        <is>
          <t>Equipo Nómina (2 personas, por designar)</t>
        </is>
      </c>
      <c r="F15" s="7" t="inlineStr">
        <is>
          <t>Jorman Copete (IngenIA 365)</t>
        </is>
      </c>
      <c r="G15" s="8" t="n">
        <v>46284</v>
      </c>
      <c r="H15" s="8" t="n">
        <v>46290</v>
      </c>
      <c r="I15" s="17">
        <f>H15-G15+1</f>
        <v/>
      </c>
      <c r="J15" s="7" t="inlineStr">
        <is>
          <t>N04, N05</t>
        </is>
      </c>
      <c r="K15" s="7" t="inlineStr">
        <is>
          <t>100 % de los empleados activos creados; conteo y masa salarial iguales al aplicativo actual</t>
        </is>
      </c>
      <c r="L15" s="7" t="inlineStr">
        <is>
          <t>En curso</t>
        </is>
      </c>
      <c r="M15" s="7" t="inlineStr">
        <is>
          <t>Número de empleados por confirmar (dimensiona el esfuerzo)</t>
        </is>
      </c>
    </row>
    <row r="16">
      <c r="A16" s="17" t="inlineStr">
        <is>
          <t>N11</t>
        </is>
      </c>
      <c r="B16" s="18" t="inlineStr">
        <is>
          <t>Preparación y parametrización</t>
        </is>
      </c>
      <c r="C16" s="7" t="inlineStr">
        <is>
          <t>Novedades fijas y recurrentes</t>
        </is>
      </c>
      <c r="D16" s="7" t="inlineStr">
        <is>
          <t>Registrar las novedades permanentes por empleado: descuentos por libranza, aportes y créditos de la cooperativa, auxilios fijos.</t>
        </is>
      </c>
      <c r="E16" s="7" t="inlineStr">
        <is>
          <t>Equipo Nómina (2 personas, por designar)</t>
        </is>
      </c>
      <c r="F16" s="7" t="inlineStr">
        <is>
          <t>Jorman Copete (IngenIA 365)</t>
        </is>
      </c>
      <c r="G16" s="8" t="n">
        <v>46288</v>
      </c>
      <c r="H16" s="8" t="n">
        <v>46290</v>
      </c>
      <c r="I16" s="17">
        <f>H16-G16+1</f>
        <v/>
      </c>
      <c r="J16" s="7" t="inlineStr">
        <is>
          <t>N07, N10</t>
        </is>
      </c>
      <c r="K16" s="7" t="inlineStr">
        <is>
          <t>Novedades permanentes registradas y verificadas contra la nómina actual</t>
        </is>
      </c>
      <c r="L16" s="7" t="inlineStr">
        <is>
          <t>Pendiente</t>
        </is>
      </c>
      <c r="M16" s="7" t="inlineStr"/>
    </row>
    <row r="17">
      <c r="A17" s="17" t="inlineStr">
        <is>
          <t>N12</t>
        </is>
      </c>
      <c r="B17" s="18" t="inlineStr">
        <is>
          <t>Preparación y parametrización</t>
        </is>
      </c>
      <c r="C17" s="7" t="inlineStr">
        <is>
          <t>Verificación cruzada de la parametrización</t>
        </is>
      </c>
      <c r="D17" s="7" t="inlineStr">
        <is>
          <t>Revisar entre las 2 personas y el gestor que planes, conceptos, entidades, empleados y novedades coinciden con el aplicativo actual.</t>
        </is>
      </c>
      <c r="E17" s="7" t="inlineStr">
        <is>
          <t>Equipo Nómina (2 personas, por designar) + Gestor del proyecto (por designar)</t>
        </is>
      </c>
      <c r="F17" s="7" t="inlineStr">
        <is>
          <t>Jorman Copete (IngenIA 365)</t>
        </is>
      </c>
      <c r="G17" s="8" t="n">
        <v>46290</v>
      </c>
      <c r="H17" s="8" t="n">
        <v>46291</v>
      </c>
      <c r="I17" s="17">
        <f>H17-G17+1</f>
        <v/>
      </c>
      <c r="J17" s="7" t="inlineStr">
        <is>
          <t>N02 a N11</t>
        </is>
      </c>
      <c r="K17" s="7" t="inlineStr">
        <is>
          <t>Lista de chequeo firmada por las 2 personas y el gestor</t>
        </is>
      </c>
      <c r="L17" s="7" t="inlineStr">
        <is>
          <t>Pendiente</t>
        </is>
      </c>
      <c r="M17" s="7" t="inlineStr"/>
    </row>
    <row r="18">
      <c r="A18" s="19" t="inlineStr">
        <is>
          <t>N13</t>
        </is>
      </c>
      <c r="B18" s="18" t="inlineStr">
        <is>
          <t>Preparación y parametrización</t>
        </is>
      </c>
      <c r="C18" s="20" t="inlineStr">
        <is>
          <t>◆ HITO — Fin de parametrización de Nómina</t>
        </is>
      </c>
      <c r="D18" s="7" t="inlineStr"/>
      <c r="E18" s="7" t="inlineStr">
        <is>
          <t>Gestor del proyecto (por designar)</t>
        </is>
      </c>
      <c r="F18" s="7" t="inlineStr">
        <is>
          <t>Jorman Copete (IngenIA 365)</t>
        </is>
      </c>
      <c r="G18" s="8" t="n">
        <v>46291</v>
      </c>
      <c r="H18" s="8" t="n">
        <v>46291</v>
      </c>
      <c r="I18" s="17">
        <f>H18-G18+1</f>
        <v/>
      </c>
      <c r="J18" s="7" t="inlineStr">
        <is>
          <t>N12</t>
        </is>
      </c>
      <c r="K18" s="7" t="inlineStr">
        <is>
          <t>Hito verificado y registrado en el acta de seguimiento</t>
        </is>
      </c>
      <c r="L18" s="7" t="inlineStr">
        <is>
          <t>Pendiente</t>
        </is>
      </c>
      <c r="M18" s="7" t="inlineStr"/>
    </row>
    <row r="19">
      <c r="A19" s="17" t="inlineStr">
        <is>
          <t>N14</t>
        </is>
      </c>
      <c r="B19" s="18" t="inlineStr">
        <is>
          <t>Preparación y parametrización</t>
        </is>
      </c>
      <c r="C19" s="7" t="inlineStr">
        <is>
          <t>Cuentas contables por concepto (dependencia de Contabilidad)</t>
        </is>
      </c>
      <c r="D19" s="7" t="inlineStr">
        <is>
          <t>Asignar a cada concepto activo sus cuentas contables débito/crédito con el plan de cuentas del nuevo sistema. Requisito para aprobar liquidaciones; hasta entonces sólo se calcula y compara.</t>
        </is>
      </c>
      <c r="E19" s="7" t="inlineStr">
        <is>
          <t>Equipo Nómina (2 personas, por designar) + Contadora Rafaela Lastra España</t>
        </is>
      </c>
      <c r="F19" s="7" t="inlineStr">
        <is>
          <t>Jorman Copete (IngenIA 365)</t>
        </is>
      </c>
      <c r="G19" s="8" t="n">
        <v>46314</v>
      </c>
      <c r="H19" s="8" t="n">
        <v>46318</v>
      </c>
      <c r="I19" s="17">
        <f>H19-G19+1</f>
        <v/>
      </c>
      <c r="J19" s="7" t="inlineStr">
        <is>
          <t>C08 (Contabilidad)</t>
        </is>
      </c>
      <c r="K19" s="7" t="inlineStr">
        <is>
          <t>Todos los conceptos activos tienen cuentas; una liquidación de prueba se aprueba y genera el comprobante NM</t>
        </is>
      </c>
      <c r="L19" s="7" t="inlineStr">
        <is>
          <t>Pendiente</t>
        </is>
      </c>
      <c r="M19" s="7" t="inlineStr">
        <is>
          <t>Depende del hito C08 (plan de cuentas listo, 17/10)</t>
        </is>
      </c>
    </row>
    <row r="20">
      <c r="A20" s="17" t="inlineStr">
        <is>
          <t>N15</t>
        </is>
      </c>
      <c r="B20" s="21" t="inlineStr">
        <is>
          <t>Capacitación</t>
        </is>
      </c>
      <c r="C20" s="7" t="inlineStr">
        <is>
          <t>Sesión 1 (sáb 12/09): introducción, planes y conceptos</t>
        </is>
      </c>
      <c r="D20" s="7" t="inlineStr">
        <is>
          <t>Sesión de capacitación por proceso, con ejercicios sobre los datos reales de la cooperativa.</t>
        </is>
      </c>
      <c r="E20" s="7" t="inlineStr">
        <is>
          <t>Equipo Nómina (2 personas, por designar)</t>
        </is>
      </c>
      <c r="F20" s="7" t="inlineStr">
        <is>
          <t>Jorman Copete (IngenIA 365)</t>
        </is>
      </c>
      <c r="G20" s="8" t="n">
        <v>46277</v>
      </c>
      <c r="H20" s="8" t="n">
        <v>46277</v>
      </c>
      <c r="I20" s="17">
        <f>H20-G20+1</f>
        <v/>
      </c>
      <c r="J20" s="7" t="inlineStr"/>
      <c r="K20" s="7" t="inlineStr">
        <is>
          <t>Asistencia de las 2 personas del módulo; ejercicio guiado completado en el sistema</t>
        </is>
      </c>
      <c r="L20" s="7" t="inlineStr">
        <is>
          <t>Por confirmar</t>
        </is>
      </c>
      <c r="M20" s="7" t="inlineStr">
        <is>
          <t>Realizada: confirmar asistencia</t>
        </is>
      </c>
    </row>
    <row r="21">
      <c r="A21" s="17" t="inlineStr">
        <is>
          <t>N16</t>
        </is>
      </c>
      <c r="B21" s="21" t="inlineStr">
        <is>
          <t>Capacitación</t>
        </is>
      </c>
      <c r="C21" s="7" t="inlineStr">
        <is>
          <t>Sesión 2 (sáb 19/09): entidades, empleados, períodos y novedades</t>
        </is>
      </c>
      <c r="D21" s="7" t="inlineStr">
        <is>
          <t>Sesión de capacitación por proceso, con ejercicios sobre los datos reales de la cooperativa.</t>
        </is>
      </c>
      <c r="E21" s="7" t="inlineStr">
        <is>
          <t>Equipo Nómina (2 personas, por designar)</t>
        </is>
      </c>
      <c r="F21" s="7" t="inlineStr">
        <is>
          <t>Jorman Copete (IngenIA 365)</t>
        </is>
      </c>
      <c r="G21" s="8" t="n">
        <v>46284</v>
      </c>
      <c r="H21" s="8" t="n">
        <v>46284</v>
      </c>
      <c r="I21" s="17">
        <f>H21-G21+1</f>
        <v/>
      </c>
      <c r="J21" s="7" t="inlineStr"/>
      <c r="K21" s="7" t="inlineStr">
        <is>
          <t>Asistencia de las 2 personas del módulo; ejercicio guiado completado en el sistema</t>
        </is>
      </c>
      <c r="L21" s="7" t="inlineStr">
        <is>
          <t>En curso</t>
        </is>
      </c>
      <c r="M21" s="7" t="inlineStr">
        <is>
          <t>Horario y modalidad: acordado entre las partes</t>
        </is>
      </c>
    </row>
    <row r="22">
      <c r="A22" s="17" t="inlineStr">
        <is>
          <t>N17</t>
        </is>
      </c>
      <c r="B22" s="21" t="inlineStr">
        <is>
          <t>Capacitación</t>
        </is>
      </c>
      <c r="C22" s="7" t="inlineStr">
        <is>
          <t>Sesión 3 (sáb 26/09): liquidación (calcular → revisar → aprobar), importación CSV de novedades y reportes</t>
        </is>
      </c>
      <c r="D22" s="7" t="inlineStr">
        <is>
          <t>Sesión de capacitación por proceso, con ejercicios sobre los datos reales de la cooperativa.</t>
        </is>
      </c>
      <c r="E22" s="7" t="inlineStr">
        <is>
          <t>Equipo Nómina (2 personas, por designar)</t>
        </is>
      </c>
      <c r="F22" s="7" t="inlineStr">
        <is>
          <t>Jorman Copete (IngenIA 365)</t>
        </is>
      </c>
      <c r="G22" s="8" t="n">
        <v>46291</v>
      </c>
      <c r="H22" s="8" t="n">
        <v>46291</v>
      </c>
      <c r="I22" s="17">
        <f>H22-G22+1</f>
        <v/>
      </c>
      <c r="J22" s="7" t="inlineStr"/>
      <c r="K22" s="7" t="inlineStr">
        <is>
          <t>Asistencia de las 2 personas del módulo; ejercicio guiado completado en el sistema</t>
        </is>
      </c>
      <c r="L22" s="7" t="inlineStr">
        <is>
          <t>Pendiente</t>
        </is>
      </c>
      <c r="M22" s="7" t="inlineStr">
        <is>
          <t>Horario y modalidad: acordado entre las partes</t>
        </is>
      </c>
    </row>
    <row r="23">
      <c r="A23" s="17" t="inlineStr">
        <is>
          <t>N18</t>
        </is>
      </c>
      <c r="B23" s="21" t="inlineStr">
        <is>
          <t>Capacitación</t>
        </is>
      </c>
      <c r="C23" s="7" t="inlineStr">
        <is>
          <t>Sesión entre semana (mié 30/09, día por acordar): acompañamiento del ciclo de calibración</t>
        </is>
      </c>
      <c r="D23" s="7" t="inlineStr">
        <is>
          <t>Sesión de capacitación por proceso, con ejercicios sobre los datos reales de la cooperativa.</t>
        </is>
      </c>
      <c r="E23" s="7" t="inlineStr">
        <is>
          <t>Equipo Nómina (2 personas, por designar)</t>
        </is>
      </c>
      <c r="F23" s="7" t="inlineStr">
        <is>
          <t>Jorman Copete (IngenIA 365)</t>
        </is>
      </c>
      <c r="G23" s="8" t="n">
        <v>46295</v>
      </c>
      <c r="H23" s="8" t="n">
        <v>46295</v>
      </c>
      <c r="I23" s="17">
        <f>H23-G23+1</f>
        <v/>
      </c>
      <c r="J23" s="7" t="inlineStr"/>
      <c r="K23" s="7" t="inlineStr">
        <is>
          <t>Asistencia de las 2 personas del módulo; ejercicio guiado completado en el sistema</t>
        </is>
      </c>
      <c r="L23" s="7" t="inlineStr">
        <is>
          <t>Pendiente</t>
        </is>
      </c>
      <c r="M23" s="7" t="inlineStr">
        <is>
          <t>Horario y modalidad: acordado entre las partes</t>
        </is>
      </c>
    </row>
    <row r="24">
      <c r="A24" s="17" t="inlineStr">
        <is>
          <t>N19</t>
        </is>
      </c>
      <c r="B24" s="21" t="inlineStr">
        <is>
          <t>Capacitación</t>
        </is>
      </c>
      <c r="C24" s="7" t="inlineStr">
        <is>
          <t>Sesión 4 (sáb 14/11): aprobación, comprobante NM y reportes para el cierre; repaso general</t>
        </is>
      </c>
      <c r="D24" s="7" t="inlineStr">
        <is>
          <t>Sesión de capacitación por proceso, con ejercicios sobre los datos reales de la cooperativa.</t>
        </is>
      </c>
      <c r="E24" s="7" t="inlineStr">
        <is>
          <t>Equipo Nómina (2 personas, por designar)</t>
        </is>
      </c>
      <c r="F24" s="7" t="inlineStr">
        <is>
          <t>Jorman Copete (IngenIA 365)</t>
        </is>
      </c>
      <c r="G24" s="8" t="n">
        <v>46340</v>
      </c>
      <c r="H24" s="8" t="n">
        <v>46340</v>
      </c>
      <c r="I24" s="17">
        <f>H24-G24+1</f>
        <v/>
      </c>
      <c r="J24" s="7" t="inlineStr"/>
      <c r="K24" s="7" t="inlineStr">
        <is>
          <t>Asistencia de las 2 personas del módulo; ejercicio guiado completado en el sistema</t>
        </is>
      </c>
      <c r="L24" s="7" t="inlineStr">
        <is>
          <t>Pendiente</t>
        </is>
      </c>
      <c r="M24" s="7" t="inlineStr">
        <is>
          <t>Horario y modalidad: acordado entre las partes</t>
        </is>
      </c>
    </row>
    <row r="25">
      <c r="A25" s="17" t="inlineStr">
        <is>
          <t>N20</t>
        </is>
      </c>
      <c r="B25" s="22" t="inlineStr">
        <is>
          <t>Paralelo con el aplicativo actual</t>
        </is>
      </c>
      <c r="C25" s="7" t="inlineStr">
        <is>
          <t>Ciclo 0 (calibración): 2ª quincena de septiembre</t>
        </is>
      </c>
      <c r="D25" s="7" t="inlineStr">
        <is>
          <t>Calcular la quincena del 16 al 30/09 en el nuevo sistema sin aprobar y comparar empleado por empleado con el aplicativo actual.</t>
        </is>
      </c>
      <c r="E25" s="7" t="inlineStr">
        <is>
          <t>Equipo Nómina (2 personas, por designar)</t>
        </is>
      </c>
      <c r="F25" s="7" t="inlineStr">
        <is>
          <t>Jorman Copete (IngenIA 365)</t>
        </is>
      </c>
      <c r="G25" s="8" t="n">
        <v>46293</v>
      </c>
      <c r="H25" s="8" t="n">
        <v>46297</v>
      </c>
      <c r="I25" s="17">
        <f>H25-G25+1</f>
        <v/>
      </c>
      <c r="J25" s="7" t="inlineStr">
        <is>
          <t>N13</t>
        </is>
      </c>
      <c r="K25" s="7" t="inlineStr">
        <is>
          <t>Diferencias explicadas; parametrización ajustada</t>
        </is>
      </c>
      <c r="L25" s="7" t="inlineStr">
        <is>
          <t>Pendiente</t>
        </is>
      </c>
      <c r="M25" s="7" t="inlineStr">
        <is>
          <t>Ciclo de prueba previo al paralelo formal de octubre y noviembre</t>
        </is>
      </c>
    </row>
    <row r="26">
      <c r="A26" s="17" t="inlineStr">
        <is>
          <t>N21</t>
        </is>
      </c>
      <c r="B26" s="22" t="inlineStr">
        <is>
          <t>Paralelo con el aplicativo actual</t>
        </is>
      </c>
      <c r="C26" s="7" t="inlineStr">
        <is>
          <t>Ciclo 1: novedades de la 1ª quincena de octubre</t>
        </is>
      </c>
      <c r="D26" s="7" t="inlineStr">
        <is>
          <t>Registrar en ambos sistemas las novedades del período: ausencias, horas extra, incapacidades, vacaciones.</t>
        </is>
      </c>
      <c r="E26" s="7" t="inlineStr">
        <is>
          <t>Equipo Nómina (2 personas, por designar)</t>
        </is>
      </c>
      <c r="F26" s="7" t="inlineStr">
        <is>
          <t>Jorman Copete (IngenIA 365)</t>
        </is>
      </c>
      <c r="G26" s="8" t="n">
        <v>46296</v>
      </c>
      <c r="H26" s="8" t="n">
        <v>46309</v>
      </c>
      <c r="I26" s="17">
        <f>H26-G26+1</f>
        <v/>
      </c>
      <c r="J26" s="7" t="inlineStr">
        <is>
          <t>N20</t>
        </is>
      </c>
      <c r="K26" s="7" t="inlineStr">
        <is>
          <t>Novedades del período iguales en ambos sistemas</t>
        </is>
      </c>
      <c r="L26" s="7" t="inlineStr">
        <is>
          <t>Pendiente</t>
        </is>
      </c>
      <c r="M26" s="7" t="inlineStr"/>
    </row>
    <row r="27">
      <c r="A27" s="17" t="inlineStr">
        <is>
          <t>N22</t>
        </is>
      </c>
      <c r="B27" s="22" t="inlineStr">
        <is>
          <t>Paralelo con el aplicativo actual</t>
        </is>
      </c>
      <c r="C27" s="7" t="inlineStr">
        <is>
          <t>Ciclo 1: liquidar la 1ª quincena de octubre</t>
        </is>
      </c>
      <c r="D27" s="7" t="inlineStr">
        <is>
          <t>Calcular y revisar la liquidación en el nuevo sistema (sin aprobar).</t>
        </is>
      </c>
      <c r="E27" s="7" t="inlineStr">
        <is>
          <t>Equipo Nómina (2 personas, por designar)</t>
        </is>
      </c>
      <c r="F27" s="7" t="inlineStr">
        <is>
          <t>Jorman Copete (IngenIA 365)</t>
        </is>
      </c>
      <c r="G27" s="8" t="n">
        <v>46309</v>
      </c>
      <c r="H27" s="8" t="n">
        <v>46310</v>
      </c>
      <c r="I27" s="17">
        <f>H27-G27+1</f>
        <v/>
      </c>
      <c r="J27" s="7" t="inlineStr">
        <is>
          <t>N21</t>
        </is>
      </c>
      <c r="K27" s="7" t="inlineStr">
        <is>
          <t>Liquidación calculada y revisada</t>
        </is>
      </c>
      <c r="L27" s="7" t="inlineStr">
        <is>
          <t>Pendiente</t>
        </is>
      </c>
      <c r="M27" s="7" t="inlineStr"/>
    </row>
    <row r="28">
      <c r="A28" s="19" t="inlineStr">
        <is>
          <t>N23</t>
        </is>
      </c>
      <c r="B28" s="22" t="inlineStr">
        <is>
          <t>Paralelo con el aplicativo actual</t>
        </is>
      </c>
      <c r="C28" s="20" t="inlineStr">
        <is>
          <t>◆ HITO — Primera nómina liquidada en paralelo</t>
        </is>
      </c>
      <c r="D28" s="7" t="inlineStr"/>
      <c r="E28" s="7" t="inlineStr">
        <is>
          <t>Equipo Nómina (2 personas, por designar)</t>
        </is>
      </c>
      <c r="F28" s="7" t="inlineStr">
        <is>
          <t>Jorman Copete (IngenIA 365)</t>
        </is>
      </c>
      <c r="G28" s="8" t="n">
        <v>46310</v>
      </c>
      <c r="H28" s="8" t="n">
        <v>46310</v>
      </c>
      <c r="I28" s="17">
        <f>H28-G28+1</f>
        <v/>
      </c>
      <c r="J28" s="7" t="inlineStr">
        <is>
          <t>N22</t>
        </is>
      </c>
      <c r="K28" s="7" t="inlineStr">
        <is>
          <t>Hito verificado y registrado en el acta de seguimiento</t>
        </is>
      </c>
      <c r="L28" s="7" t="inlineStr">
        <is>
          <t>Pendiente</t>
        </is>
      </c>
      <c r="M28" s="7" t="inlineStr"/>
    </row>
    <row r="29">
      <c r="A29" s="17" t="inlineStr">
        <is>
          <t>N24</t>
        </is>
      </c>
      <c r="B29" s="22" t="inlineStr">
        <is>
          <t>Paralelo con el aplicativo actual</t>
        </is>
      </c>
      <c r="C29" s="7" t="inlineStr">
        <is>
          <t>Ciclo 1: comparar con el aplicativo actual y registrar diferencias</t>
        </is>
      </c>
      <c r="D29" s="7" t="inlineStr">
        <is>
          <t>Comparar totales por concepto y por empleado; registrar cada diferencia en la bitácora con su causa y corregirla.</t>
        </is>
      </c>
      <c r="E29" s="7" t="inlineStr">
        <is>
          <t>Equipo Nómina (2 personas, por designar)</t>
        </is>
      </c>
      <c r="F29" s="7" t="inlineStr">
        <is>
          <t>Jorman Copete (IngenIA 365)</t>
        </is>
      </c>
      <c r="G29" s="8" t="n">
        <v>46310</v>
      </c>
      <c r="H29" s="8" t="n">
        <v>46311</v>
      </c>
      <c r="I29" s="17">
        <f>H29-G29+1</f>
        <v/>
      </c>
      <c r="J29" s="7" t="inlineStr">
        <is>
          <t>N22</t>
        </is>
      </c>
      <c r="K29" s="7" t="inlineStr">
        <is>
          <t>Diferencia neta = 0 o justificada en la bitácora</t>
        </is>
      </c>
      <c r="L29" s="7" t="inlineStr">
        <is>
          <t>Pendiente</t>
        </is>
      </c>
      <c r="M29" s="7" t="inlineStr"/>
    </row>
    <row r="30">
      <c r="A30" s="19" t="inlineStr">
        <is>
          <t>N25</t>
        </is>
      </c>
      <c r="B30" s="22" t="inlineStr">
        <is>
          <t>Paralelo con el aplicativo actual</t>
        </is>
      </c>
      <c r="C30" s="20" t="inlineStr">
        <is>
          <t>◆ HITO — Cuadre de la primera nómina frente al aplicativo actual</t>
        </is>
      </c>
      <c r="D30" s="7" t="inlineStr"/>
      <c r="E30" s="7" t="inlineStr">
        <is>
          <t>Equipo Nómina (2 personas, por designar)</t>
        </is>
      </c>
      <c r="F30" s="7" t="inlineStr">
        <is>
          <t>Jorman Copete (IngenIA 365)</t>
        </is>
      </c>
      <c r="G30" s="8" t="n">
        <v>46311</v>
      </c>
      <c r="H30" s="8" t="n">
        <v>46311</v>
      </c>
      <c r="I30" s="17">
        <f>H30-G30+1</f>
        <v/>
      </c>
      <c r="J30" s="7" t="inlineStr">
        <is>
          <t>N24</t>
        </is>
      </c>
      <c r="K30" s="7" t="inlineStr">
        <is>
          <t>Hito verificado y registrado en el acta de seguimiento</t>
        </is>
      </c>
      <c r="L30" s="7" t="inlineStr">
        <is>
          <t>Pendiente</t>
        </is>
      </c>
      <c r="M30" s="7" t="inlineStr"/>
    </row>
    <row r="31">
      <c r="A31" s="17" t="inlineStr">
        <is>
          <t>N26</t>
        </is>
      </c>
      <c r="B31" s="22" t="inlineStr">
        <is>
          <t>Paralelo con el aplicativo actual</t>
        </is>
      </c>
      <c r="C31" s="7" t="inlineStr">
        <is>
          <t>Ciclo 2: novedades de la 2ª quincena de octubre</t>
        </is>
      </c>
      <c r="D31" s="7" t="inlineStr"/>
      <c r="E31" s="7" t="inlineStr">
        <is>
          <t>Equipo Nómina (2 personas, por designar)</t>
        </is>
      </c>
      <c r="F31" s="7" t="inlineStr">
        <is>
          <t>Jorman Copete (IngenIA 365)</t>
        </is>
      </c>
      <c r="G31" s="8" t="n">
        <v>46311</v>
      </c>
      <c r="H31" s="8" t="n">
        <v>46324</v>
      </c>
      <c r="I31" s="17">
        <f>H31-G31+1</f>
        <v/>
      </c>
      <c r="J31" s="7" t="inlineStr">
        <is>
          <t>N24</t>
        </is>
      </c>
      <c r="K31" s="7" t="inlineStr">
        <is>
          <t>Novedades del período iguales en ambos sistemas</t>
        </is>
      </c>
      <c r="L31" s="7" t="inlineStr">
        <is>
          <t>Pendiente</t>
        </is>
      </c>
      <c r="M31" s="7" t="inlineStr"/>
    </row>
    <row r="32">
      <c r="A32" s="17" t="inlineStr">
        <is>
          <t>N27</t>
        </is>
      </c>
      <c r="B32" s="22" t="inlineStr">
        <is>
          <t>Paralelo con el aplicativo actual</t>
        </is>
      </c>
      <c r="C32" s="7" t="inlineStr">
        <is>
          <t>Ciclo 2: liquidar, comparar y aprobar la 2ª quincena de octubre</t>
        </is>
      </c>
      <c r="D32" s="7" t="inlineStr">
        <is>
          <t>Calcular, comparar con el actual y, con el cuadre registrado, aprobar la liquidación: la aprobación genera el comprobante contable NM.</t>
        </is>
      </c>
      <c r="E32" s="7" t="inlineStr">
        <is>
          <t>Equipo Nómina (2 personas, por designar)</t>
        </is>
      </c>
      <c r="F32" s="7" t="inlineStr">
        <is>
          <t>Jorman Copete (IngenIA 365)</t>
        </is>
      </c>
      <c r="G32" s="8" t="n">
        <v>46324</v>
      </c>
      <c r="H32" s="8" t="n">
        <v>46326</v>
      </c>
      <c r="I32" s="17">
        <f>H32-G32+1</f>
        <v/>
      </c>
      <c r="J32" s="7" t="inlineStr">
        <is>
          <t>N14, N26</t>
        </is>
      </c>
      <c r="K32" s="7" t="inlineStr">
        <is>
          <t>Cuadre registrado; liquidación aprobada y comprobante NM generado</t>
        </is>
      </c>
      <c r="L32" s="7" t="inlineStr">
        <is>
          <t>Pendiente</t>
        </is>
      </c>
      <c r="M32" s="7" t="inlineStr">
        <is>
          <t>Primera aprobación en el nuevo sistema (requiere N14)</t>
        </is>
      </c>
    </row>
    <row r="33">
      <c r="A33" s="17" t="inlineStr">
        <is>
          <t>N28</t>
        </is>
      </c>
      <c r="B33" s="22" t="inlineStr">
        <is>
          <t>Paralelo con el aplicativo actual</t>
        </is>
      </c>
      <c r="C33" s="7" t="inlineStr">
        <is>
          <t>Ciclo 2: verificar el primer comprobante NM con Contabilidad</t>
        </is>
      </c>
      <c r="D33" s="7" t="inlineStr">
        <is>
          <t>La contadora revisa el comprobante NM generado (cuentas, terceros, totales) frente a la contabilización de la nómina actual.</t>
        </is>
      </c>
      <c r="E33" s="7" t="inlineStr">
        <is>
          <t>Contadora Rafaela Lastra España + Equipo Nómina (2 personas, por designar)</t>
        </is>
      </c>
      <c r="F33" s="7" t="inlineStr">
        <is>
          <t>Jorman Copete (IngenIA 365)</t>
        </is>
      </c>
      <c r="G33" s="8" t="n">
        <v>46329</v>
      </c>
      <c r="H33" s="8" t="n">
        <v>46330</v>
      </c>
      <c r="I33" s="17">
        <f>H33-G33+1</f>
        <v/>
      </c>
      <c r="J33" s="7" t="inlineStr">
        <is>
          <t>N27</t>
        </is>
      </c>
      <c r="K33" s="7" t="inlineStr">
        <is>
          <t>Cuentas, terceros y totales del NM coinciden con la contabilización actual</t>
        </is>
      </c>
      <c r="L33" s="7" t="inlineStr">
        <is>
          <t>Pendiente</t>
        </is>
      </c>
      <c r="M33" s="7" t="inlineStr"/>
    </row>
    <row r="34">
      <c r="A34" s="19" t="inlineStr">
        <is>
          <t>N29</t>
        </is>
      </c>
      <c r="B34" s="22" t="inlineStr">
        <is>
          <t>Paralelo con el aplicativo actual</t>
        </is>
      </c>
      <c r="C34" s="20" t="inlineStr">
        <is>
          <t>◆ HITO — Primer comprobante contable de nómina (NM) verificado</t>
        </is>
      </c>
      <c r="D34" s="7" t="inlineStr"/>
      <c r="E34" s="7" t="inlineStr">
        <is>
          <t>Contadora Rafaela Lastra España</t>
        </is>
      </c>
      <c r="F34" s="7" t="inlineStr">
        <is>
          <t>Jorman Copete (IngenIA 365)</t>
        </is>
      </c>
      <c r="G34" s="8" t="n">
        <v>46330</v>
      </c>
      <c r="H34" s="8" t="n">
        <v>46330</v>
      </c>
      <c r="I34" s="17">
        <f>H34-G34+1</f>
        <v/>
      </c>
      <c r="J34" s="7" t="inlineStr">
        <is>
          <t>N28</t>
        </is>
      </c>
      <c r="K34" s="7" t="inlineStr">
        <is>
          <t>Hito verificado y registrado en el acta de seguimiento</t>
        </is>
      </c>
      <c r="L34" s="7" t="inlineStr">
        <is>
          <t>Pendiente</t>
        </is>
      </c>
      <c r="M34" s="7" t="inlineStr"/>
    </row>
    <row r="35">
      <c r="A35" s="17" t="inlineStr">
        <is>
          <t>N30</t>
        </is>
      </c>
      <c r="B35" s="22" t="inlineStr">
        <is>
          <t>Paralelo con el aplicativo actual</t>
        </is>
      </c>
      <c r="C35" s="7" t="inlineStr">
        <is>
          <t>Ciclo 3: novedades de la 1ª quincena de noviembre</t>
        </is>
      </c>
      <c r="D35" s="7" t="inlineStr"/>
      <c r="E35" s="7" t="inlineStr">
        <is>
          <t>Equipo Nómina (2 personas, por designar)</t>
        </is>
      </c>
      <c r="F35" s="7" t="inlineStr">
        <is>
          <t>Jorman Copete (IngenIA 365)</t>
        </is>
      </c>
      <c r="G35" s="8" t="n">
        <v>46329</v>
      </c>
      <c r="H35" s="8" t="n">
        <v>46338</v>
      </c>
      <c r="I35" s="17">
        <f>H35-G35+1</f>
        <v/>
      </c>
      <c r="J35" s="7" t="inlineStr">
        <is>
          <t>N27</t>
        </is>
      </c>
      <c r="K35" s="7" t="inlineStr">
        <is>
          <t>Novedades del período iguales en ambos sistemas</t>
        </is>
      </c>
      <c r="L35" s="7" t="inlineStr">
        <is>
          <t>Pendiente</t>
        </is>
      </c>
      <c r="M35" s="7" t="inlineStr">
        <is>
          <t>El 02/11 es festivo</t>
        </is>
      </c>
    </row>
    <row r="36">
      <c r="A36" s="17" t="inlineStr">
        <is>
          <t>N31</t>
        </is>
      </c>
      <c r="B36" s="22" t="inlineStr">
        <is>
          <t>Paralelo con el aplicativo actual</t>
        </is>
      </c>
      <c r="C36" s="7" t="inlineStr">
        <is>
          <t>Ciclo 3: liquidar, comparar y aprobar la 1ª quincena de noviembre</t>
        </is>
      </c>
      <c r="D36" s="7" t="inlineStr"/>
      <c r="E36" s="7" t="inlineStr">
        <is>
          <t>Equipo Nómina (2 personas, por designar)</t>
        </is>
      </c>
      <c r="F36" s="7" t="inlineStr">
        <is>
          <t>Jorman Copete (IngenIA 365)</t>
        </is>
      </c>
      <c r="G36" s="8" t="n">
        <v>46338</v>
      </c>
      <c r="H36" s="8" t="n">
        <v>46340</v>
      </c>
      <c r="I36" s="17">
        <f>H36-G36+1</f>
        <v/>
      </c>
      <c r="J36" s="7" t="inlineStr">
        <is>
          <t>N30</t>
        </is>
      </c>
      <c r="K36" s="7" t="inlineStr">
        <is>
          <t>Cuadre registrado; liquidación aprobada; NM generado</t>
        </is>
      </c>
      <c r="L36" s="7" t="inlineStr">
        <is>
          <t>Pendiente</t>
        </is>
      </c>
      <c r="M36" s="7" t="inlineStr"/>
    </row>
    <row r="37">
      <c r="A37" s="17" t="inlineStr">
        <is>
          <t>N32</t>
        </is>
      </c>
      <c r="B37" s="22" t="inlineStr">
        <is>
          <t>Paralelo con el aplicativo actual</t>
        </is>
      </c>
      <c r="C37" s="7" t="inlineStr">
        <is>
          <t>Ciclo 4: novedades de la 2ª quincena de noviembre</t>
        </is>
      </c>
      <c r="D37" s="7" t="inlineStr"/>
      <c r="E37" s="7" t="inlineStr">
        <is>
          <t>Equipo Nómina (2 personas, por designar)</t>
        </is>
      </c>
      <c r="F37" s="7" t="inlineStr">
        <is>
          <t>Jorman Copete (IngenIA 365)</t>
        </is>
      </c>
      <c r="G37" s="8" t="n">
        <v>46343</v>
      </c>
      <c r="H37" s="8" t="n">
        <v>46351</v>
      </c>
      <c r="I37" s="17">
        <f>H37-G37+1</f>
        <v/>
      </c>
      <c r="J37" s="7" t="inlineStr">
        <is>
          <t>N31</t>
        </is>
      </c>
      <c r="K37" s="7" t="inlineStr">
        <is>
          <t>Novedades del período iguales en ambos sistemas</t>
        </is>
      </c>
      <c r="L37" s="7" t="inlineStr">
        <is>
          <t>Pendiente</t>
        </is>
      </c>
      <c r="M37" s="7" t="inlineStr">
        <is>
          <t>El 16/11 es festivo</t>
        </is>
      </c>
    </row>
    <row r="38">
      <c r="A38" s="17" t="inlineStr">
        <is>
          <t>N33</t>
        </is>
      </c>
      <c r="B38" s="22" t="inlineStr">
        <is>
          <t>Paralelo con el aplicativo actual</t>
        </is>
      </c>
      <c r="C38" s="7" t="inlineStr">
        <is>
          <t>Ciclo 4: liquidar, comparar y aprobar la 2ª quincena de noviembre</t>
        </is>
      </c>
      <c r="D38" s="7" t="inlineStr"/>
      <c r="E38" s="7" t="inlineStr">
        <is>
          <t>Equipo Nómina (2 personas, por designar)</t>
        </is>
      </c>
      <c r="F38" s="7" t="inlineStr">
        <is>
          <t>Jorman Copete (IngenIA 365)</t>
        </is>
      </c>
      <c r="G38" s="8" t="n">
        <v>46352</v>
      </c>
      <c r="H38" s="8" t="n">
        <v>46354</v>
      </c>
      <c r="I38" s="17">
        <f>H38-G38+1</f>
        <v/>
      </c>
      <c r="J38" s="7" t="inlineStr">
        <is>
          <t>N32</t>
        </is>
      </c>
      <c r="K38" s="7" t="inlineStr">
        <is>
          <t>Última nómina en paralelo cuadrada y aprobada; NM verificado por la contadora</t>
        </is>
      </c>
      <c r="L38" s="7" t="inlineStr">
        <is>
          <t>Pendiente</t>
        </is>
      </c>
      <c r="M38" s="7" t="inlineStr"/>
    </row>
    <row r="39">
      <c r="A39" s="17" t="inlineStr">
        <is>
          <t>N34</t>
        </is>
      </c>
      <c r="B39" s="22" t="inlineStr">
        <is>
          <t>Paralelo con el aplicativo actual</t>
        </is>
      </c>
      <c r="C39" s="7" t="inlineStr">
        <is>
          <t>Reportes de nómina en cada ciclo</t>
        </is>
      </c>
      <c r="D39" s="7" t="inlineStr">
        <is>
          <t>Generar en /reportes/nomina la planilla, los desprendibles y el resumen por concepto (Excel/PDF/Word) y compararlos con los del aplicativo actual.</t>
        </is>
      </c>
      <c r="E39" s="7" t="inlineStr">
        <is>
          <t>Equipo Nómina (2 personas, por designar)</t>
        </is>
      </c>
      <c r="F39" s="7" t="inlineStr">
        <is>
          <t>Jorman Copete (IngenIA 365)</t>
        </is>
      </c>
      <c r="G39" s="8" t="n">
        <v>46310</v>
      </c>
      <c r="H39" s="8" t="n">
        <v>46354</v>
      </c>
      <c r="I39" s="17">
        <f>H39-G39+1</f>
        <v/>
      </c>
      <c r="J39" s="7" t="inlineStr">
        <is>
          <t>N22</t>
        </is>
      </c>
      <c r="K39" s="7" t="inlineStr">
        <is>
          <t>Reportes de cada ciclo generados y comparados</t>
        </is>
      </c>
      <c r="L39" s="7" t="inlineStr">
        <is>
          <t>Pendiente</t>
        </is>
      </c>
      <c r="M39" s="7" t="inlineStr"/>
    </row>
    <row r="40">
      <c r="A40" s="17" t="inlineStr">
        <is>
          <t>N35</t>
        </is>
      </c>
      <c r="B40" s="22" t="inlineStr">
        <is>
          <t>Paralelo con el aplicativo actual</t>
        </is>
      </c>
      <c r="C40" s="7" t="inlineStr">
        <is>
          <t>Información para seguridad social (PILA)</t>
        </is>
      </c>
      <c r="D40" s="7" t="inlineStr">
        <is>
          <t>Definir con IngenIA cómo se obtiene del nuevo sistema la información para la planilla PILA.</t>
        </is>
      </c>
      <c r="E40" s="7" t="inlineStr">
        <is>
          <t>Equipo Nómina (2 personas, por designar)</t>
        </is>
      </c>
      <c r="F40" s="7" t="inlineStr">
        <is>
          <t>Jorman Copete (IngenIA 365)</t>
        </is>
      </c>
      <c r="G40" s="8" t="n">
        <v>46300</v>
      </c>
      <c r="H40" s="8" t="n">
        <v>46311</v>
      </c>
      <c r="I40" s="17">
        <f>H40-G40+1</f>
        <v/>
      </c>
      <c r="J40" s="7" t="inlineStr"/>
      <c r="K40" s="7" t="inlineStr">
        <is>
          <t>Procedimiento documentado</t>
        </is>
      </c>
      <c r="L40" s="7" t="inlineStr">
        <is>
          <t>Pendiente</t>
        </is>
      </c>
      <c r="M40" s="7" t="inlineStr">
        <is>
          <t>Alcance por confirmar con el proveedor; mientras tanto se sigue el procedimiento actual</t>
        </is>
      </c>
    </row>
    <row r="41">
      <c r="A41" s="17" t="inlineStr">
        <is>
          <t>N36</t>
        </is>
      </c>
      <c r="B41" s="23" t="inlineStr">
        <is>
          <t>Cierre y salida en vivo</t>
        </is>
      </c>
      <c r="C41" s="7" t="inlineStr">
        <is>
          <t>Acumulados 2026 por empleado</t>
        </is>
      </c>
      <c r="D41" s="7" t="inlineStr">
        <is>
          <t>Registrar los acumulados para prestaciones (cesantías, intereses, prima, vacaciones) al 30/11 para que las provisiones y liquidaciones de diciembre salgan correctas.</t>
        </is>
      </c>
      <c r="E41" s="7" t="inlineStr">
        <is>
          <t>Equipo Nómina (2 personas, por designar) + Contadora Rafaela Lastra España</t>
        </is>
      </c>
      <c r="F41" s="7" t="inlineStr">
        <is>
          <t>Jorman Copete (IngenIA 365)</t>
        </is>
      </c>
      <c r="G41" s="8" t="n">
        <v>46349</v>
      </c>
      <c r="H41" s="8" t="n">
        <v>46356</v>
      </c>
      <c r="I41" s="17">
        <f>H41-G41+1</f>
        <v/>
      </c>
      <c r="J41" s="7" t="inlineStr">
        <is>
          <t>N33</t>
        </is>
      </c>
      <c r="K41" s="7" t="inlineStr">
        <is>
          <t>Acumulados al 30/11 iguales al aplicativo actual</t>
        </is>
      </c>
      <c r="L41" s="7" t="inlineStr">
        <is>
          <t>Pendiente</t>
        </is>
      </c>
      <c r="M41" s="7" t="inlineStr">
        <is>
          <t>Confirmar con IngenIA el mecanismo de carga de acumulados</t>
        </is>
      </c>
    </row>
    <row r="42">
      <c r="A42" s="17" t="inlineStr">
        <is>
          <t>N37</t>
        </is>
      </c>
      <c r="B42" s="23" t="inlineStr">
        <is>
          <t>Cierre y salida en vivo</t>
        </is>
      </c>
      <c r="C42" s="7" t="inlineStr">
        <is>
          <t>Respaldo de la nómina actual y plan de reversa</t>
        </is>
      </c>
      <c r="D42" s="7" t="inlineStr">
        <is>
          <t>Copia de seguridad de la nómina actual; exportar los informes de 2026 a PDF/Excel; escribir cómo se liquidaría la 1ª quincena de diciembre en el actual si el nuevo falla.</t>
        </is>
      </c>
      <c r="E42" s="7" t="inlineStr">
        <is>
          <t>Gestor del proyecto (por designar) + Equipo Nómina (2 personas, por designar)</t>
        </is>
      </c>
      <c r="F42" s="7" t="inlineStr">
        <is>
          <t>Jorman Copete (IngenIA 365)</t>
        </is>
      </c>
      <c r="G42" s="8" t="n">
        <v>46353</v>
      </c>
      <c r="H42" s="8" t="n">
        <v>46356</v>
      </c>
      <c r="I42" s="17">
        <f>H42-G42+1</f>
        <v/>
      </c>
      <c r="J42" s="7" t="inlineStr"/>
      <c r="K42" s="7" t="inlineStr">
        <is>
          <t>Copia verificada; informes exportados; procedimiento de reversa escrito</t>
        </is>
      </c>
      <c r="L42" s="7" t="inlineStr">
        <is>
          <t>Pendiente</t>
        </is>
      </c>
      <c r="M42" s="7" t="inlineStr"/>
    </row>
    <row r="43">
      <c r="A43" s="19" t="inlineStr">
        <is>
          <t>N38</t>
        </is>
      </c>
      <c r="B43" s="23" t="inlineStr">
        <is>
          <t>Cierre y salida en vivo</t>
        </is>
      </c>
      <c r="C43" s="20" t="inlineStr">
        <is>
          <t>◆ HITO — Corte del paralelo de Nómina</t>
        </is>
      </c>
      <c r="D43" s="7" t="inlineStr"/>
      <c r="E43" s="7" t="inlineStr">
        <is>
          <t>Gestor del proyecto (por designar)</t>
        </is>
      </c>
      <c r="F43" s="7" t="inlineStr">
        <is>
          <t>Jorman Copete (IngenIA 365)</t>
        </is>
      </c>
      <c r="G43" s="8" t="n">
        <v>46354</v>
      </c>
      <c r="H43" s="8" t="n">
        <v>46354</v>
      </c>
      <c r="I43" s="17">
        <f>H43-G43+1</f>
        <v/>
      </c>
      <c r="J43" s="7" t="inlineStr">
        <is>
          <t>N33</t>
        </is>
      </c>
      <c r="K43" s="7" t="inlineStr">
        <is>
          <t>Hito verificado y registrado en el acta de seguimiento</t>
        </is>
      </c>
      <c r="L43" s="7" t="inlineStr">
        <is>
          <t>Pendiente</t>
        </is>
      </c>
      <c r="M43" s="7" t="inlineStr"/>
    </row>
    <row r="44">
      <c r="A44" s="19" t="inlineStr">
        <is>
          <t>N39</t>
        </is>
      </c>
      <c r="B44" s="23" t="inlineStr">
        <is>
          <t>Cierre y salida en vivo</t>
        </is>
      </c>
      <c r="C44" s="20" t="inlineStr">
        <is>
          <t>◆ HITO — Salida en vivo: la 1ª quincena de diciembre se liquida sólo en IngenIA365ERP</t>
        </is>
      </c>
      <c r="D44" s="7" t="inlineStr"/>
      <c r="E44" s="7" t="inlineStr">
        <is>
          <t>Gestor del proyecto (por designar)</t>
        </is>
      </c>
      <c r="F44" s="7" t="inlineStr">
        <is>
          <t>Jorman Copete (IngenIA 365)</t>
        </is>
      </c>
      <c r="G44" s="8" t="n">
        <v>46357</v>
      </c>
      <c r="H44" s="8" t="n">
        <v>46357</v>
      </c>
      <c r="I44" s="17">
        <f>H44-G44+1</f>
        <v/>
      </c>
      <c r="J44" s="7" t="inlineStr"/>
      <c r="K44" s="7" t="inlineStr">
        <is>
          <t>Hito verificado y registrado en el acta de seguimiento</t>
        </is>
      </c>
      <c r="L44" s="7" t="inlineStr">
        <is>
          <t>Pendiente</t>
        </is>
      </c>
      <c r="M44" s="7" t="inlineStr">
        <is>
          <t>Primera liquidación en vivo prevista alrededor del 15/12</t>
        </is>
      </c>
    </row>
    <row r="45">
      <c r="A45" s="17" t="inlineStr">
        <is>
          <t>N40</t>
        </is>
      </c>
      <c r="B45" s="23" t="inlineStr">
        <is>
          <t>Cierre y salida en vivo</t>
        </is>
      </c>
      <c r="C45" s="7" t="inlineStr">
        <is>
          <t>Acompañamiento de la primera semana en vivo</t>
        </is>
      </c>
      <c r="D45" s="7" t="inlineStr"/>
      <c r="E45" s="7" t="inlineStr">
        <is>
          <t>Equipo Nómina (2 personas, por designar)</t>
        </is>
      </c>
      <c r="F45" s="7" t="inlineStr">
        <is>
          <t>Jorman Copete (IngenIA 365)</t>
        </is>
      </c>
      <c r="G45" s="8" t="n">
        <v>46357</v>
      </c>
      <c r="H45" s="8" t="n">
        <v>46360</v>
      </c>
      <c r="I45" s="17">
        <f>H45-G45+1</f>
        <v/>
      </c>
      <c r="J45" s="7" t="inlineStr"/>
      <c r="K45" s="7" t="inlineStr">
        <is>
          <t>Novedades de diciembre registradas sólo en el nuevo; incidencias resueltas o escaladas</t>
        </is>
      </c>
      <c r="L45" s="7" t="inlineStr">
        <is>
          <t>Pendiente</t>
        </is>
      </c>
      <c r="M45" s="7" t="inlineStr"/>
    </row>
  </sheetData>
  <autoFilter ref="A5:M45"/>
  <conditionalFormatting sqref="L6:L45">
    <cfRule type="cellIs" priority="1" operator="equal" dxfId="0">
      <formula>"Terminada"</formula>
    </cfRule>
    <cfRule type="cellIs" priority="2" operator="equal" dxfId="1">
      <formula>"En curso"</formula>
    </cfRule>
    <cfRule type="cellIs" priority="3" operator="equal" dxfId="2">
      <formula>"Bloqueada"</formula>
    </cfRule>
    <cfRule type="cellIs" priority="4" operator="equal" dxfId="3">
      <formula>"Por confirmar"</formula>
    </cfRule>
  </conditionalFormatting>
  <dataValidations count="1">
    <dataValidation sqref="L6:L45" showDropDown="0" showInputMessage="0" showErrorMessage="0" allowBlank="1" errorTitle="Estado" error="Elija un estado de la lista" type="list">
      <formula1>"Pendiente,En curso,Terminada,Bloqueada,Por confirmar"</formula1>
    </dataValidation>
  </dataValidations>
  <pageMargins left="0.75" right="0.75" top="1" bottom="1" header="0.5" footer="0.5"/>
  <pageSetup orientation="landscape" paperSize="5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M4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4" customWidth="1" min="3" max="3"/>
    <col width="58" customWidth="1" min="4" max="4"/>
    <col width="34" customWidth="1" min="5" max="5"/>
    <col width="24" customWidth="1" min="6" max="6"/>
    <col width="12" customWidth="1" min="7" max="7"/>
    <col width="12" customWidth="1" min="8" max="8"/>
    <col width="10" customWidth="1" min="9" max="9"/>
    <col width="16" customWidth="1" min="10" max="10"/>
    <col width="48" customWidth="1" min="11" max="11"/>
    <col width="14" customWidth="1" min="12" max="12"/>
    <col width="42" customWidth="1" min="13" max="13"/>
  </cols>
  <sheetData>
    <row r="1">
      <c r="A1" s="1" t="inlineStr">
        <is>
          <t>Contabilidad — Plan de implementación IngenIA365ERP · COOFLOPAL</t>
        </is>
      </c>
    </row>
    <row r="2">
      <c r="A2" s="16" t="inlineStr">
        <is>
          <t>Del 26/09/2026 al 28/11/2026 · parametrización y configuración hasta el 31/10/2026 · paralelo con el aplicativo actual hasta el 28/11/2026 · salida en vivo 01/12/2026. Duración en días calendario, inclusive. Fechas estimadas: base para la salida en vivo.</t>
        </is>
      </c>
    </row>
    <row r="3" ht="30" customHeight="1">
      <c r="B3" s="9" t="inlineStr">
        <is>
          <t>Leyenda de fases:</t>
        </is>
      </c>
      <c r="C3" s="10" t="inlineStr">
        <is>
          <t>Preparación y parametrización</t>
        </is>
      </c>
      <c r="D3" s="11" t="inlineStr">
        <is>
          <t>Capacitación</t>
        </is>
      </c>
      <c r="E3" s="12" t="inlineStr">
        <is>
          <t>Paralelo con el aplicativo actual</t>
        </is>
      </c>
      <c r="F3" s="13" t="inlineStr">
        <is>
          <t>Cierre y salida en vivo</t>
        </is>
      </c>
      <c r="G3" s="14" t="inlineStr">
        <is>
          <t>Gestión del proyecto</t>
        </is>
      </c>
      <c r="H3" s="15" t="inlineStr">
        <is>
          <t>◆ Hito</t>
        </is>
      </c>
    </row>
    <row r="5" ht="32" customHeight="1">
      <c r="A5" s="6" t="inlineStr">
        <is>
          <t>Nº</t>
        </is>
      </c>
      <c r="B5" s="6" t="inlineStr">
        <is>
          <t>Fase</t>
        </is>
      </c>
      <c r="C5" s="6" t="inlineStr">
        <is>
          <t>Tarea</t>
        </is>
      </c>
      <c r="D5" s="6" t="inlineStr">
        <is>
          <t>Descripción</t>
        </is>
      </c>
      <c r="E5" s="6" t="inlineStr">
        <is>
          <t>Responsable (cooperativa)</t>
        </is>
      </c>
      <c r="F5" s="6" t="inlineStr">
        <is>
          <t>Apoyo IngenIA</t>
        </is>
      </c>
      <c r="G5" s="6" t="inlineStr">
        <is>
          <t>Fecha inicio</t>
        </is>
      </c>
      <c r="H5" s="6" t="inlineStr">
        <is>
          <t>Fecha fin</t>
        </is>
      </c>
      <c r="I5" s="6" t="inlineStr">
        <is>
          <t>Duración (días)</t>
        </is>
      </c>
      <c r="J5" s="6" t="inlineStr">
        <is>
          <t>Dependencia</t>
        </is>
      </c>
      <c r="K5" s="6" t="inlineStr">
        <is>
          <t>Entregable / criterio de listo</t>
        </is>
      </c>
      <c r="L5" s="6" t="inlineStr">
        <is>
          <t>Estado</t>
        </is>
      </c>
      <c r="M5" s="6" t="inlineStr">
        <is>
          <t>Observaciones</t>
        </is>
      </c>
    </row>
    <row r="6">
      <c r="A6" s="17" t="inlineStr">
        <is>
          <t>C01</t>
        </is>
      </c>
      <c r="B6" s="18" t="inlineStr">
        <is>
          <t>Preparación y parametrización</t>
        </is>
      </c>
      <c r="C6" s="7" t="inlineStr">
        <is>
          <t>Acceso y roles del equipo contable</t>
        </is>
      </c>
      <c r="D6" s="7" t="inlineStr">
        <is>
          <t>Usuarios y segundo factor para la contadora y el auxiliar; roles según función (el permiso de contabilizar es aparte del de digitar).</t>
        </is>
      </c>
      <c r="E6" s="7" t="inlineStr">
        <is>
          <t>Contadora Rafaela Lastra España + auxiliar contable (por designar)</t>
        </is>
      </c>
      <c r="F6" s="7" t="inlineStr">
        <is>
          <t>Jorman Copete (IngenIA 365)</t>
        </is>
      </c>
      <c r="G6" s="8" t="n">
        <v>46291</v>
      </c>
      <c r="H6" s="8" t="n">
        <v>46291</v>
      </c>
      <c r="I6" s="17">
        <f>H6-G6+1</f>
        <v/>
      </c>
      <c r="J6" s="7" t="inlineStr"/>
      <c r="K6" s="7" t="inlineStr">
        <is>
          <t>Contadora y auxiliar ingresan con MFA; sólo la contadora contabiliza</t>
        </is>
      </c>
      <c r="L6" s="7" t="inlineStr">
        <is>
          <t>Pendiente</t>
        </is>
      </c>
      <c r="M6" s="7" t="inlineStr"/>
    </row>
    <row r="7">
      <c r="A7" s="17" t="inlineStr">
        <is>
          <t>C02</t>
        </is>
      </c>
      <c r="B7" s="18" t="inlineStr">
        <is>
          <t>Preparación y parametrización</t>
        </is>
      </c>
      <c r="C7" s="7" t="inlineStr">
        <is>
          <t>Decisiones de configuración</t>
        </is>
      </c>
      <c r="D7" s="7" t="inlineStr">
        <is>
          <t>Definir con la contadora: catálogo (PUC Solidario oficial de la Supersolidaria, CUIF), nivel de movimiento (5 o 6), ejercicio 2026 y sucursal principal.</t>
        </is>
      </c>
      <c r="E7" s="7" t="inlineStr">
        <is>
          <t>Contadora Rafaela Lastra España + Gerencia</t>
        </is>
      </c>
      <c r="F7" s="7" t="inlineStr">
        <is>
          <t>Jorman Copete (IngenIA 365)</t>
        </is>
      </c>
      <c r="G7" s="8" t="n">
        <v>46293</v>
      </c>
      <c r="H7" s="8" t="n">
        <v>46297</v>
      </c>
      <c r="I7" s="17">
        <f>H7-G7+1</f>
        <v/>
      </c>
      <c r="J7" s="7" t="inlineStr">
        <is>
          <t>C01</t>
        </is>
      </c>
      <c r="K7" s="7" t="inlineStr">
        <is>
          <t>Acta de decisiones firmada</t>
        </is>
      </c>
      <c r="L7" s="7" t="inlineStr">
        <is>
          <t>Pendiente</t>
        </is>
      </c>
      <c r="M7" s="7" t="inlineStr">
        <is>
          <t>Decisión difícil de revertir una vez contabilizado el primer comprobante</t>
        </is>
      </c>
    </row>
    <row r="8">
      <c r="A8" s="17" t="inlineStr">
        <is>
          <t>C03</t>
        </is>
      </c>
      <c r="B8" s="18" t="inlineStr">
        <is>
          <t>Preparación y parametrización</t>
        </is>
      </c>
      <c r="C8" s="7" t="inlineStr">
        <is>
          <t>Configuración inicial (cuatro ojos)</t>
        </is>
      </c>
      <c r="D8" s="7" t="inlineStr">
        <is>
          <t>Ejecutar la configuración inicial del módulo; la segunda persona aprueba (control de cuatro ojos).</t>
        </is>
      </c>
      <c r="E8" s="7" t="inlineStr">
        <is>
          <t>Contadora Rafaela Lastra España + Gestor del proyecto (por designar)</t>
        </is>
      </c>
      <c r="F8" s="7" t="inlineStr">
        <is>
          <t>Jorman Copete (IngenIA 365)</t>
        </is>
      </c>
      <c r="G8" s="8" t="n">
        <v>46300</v>
      </c>
      <c r="H8" s="8" t="n">
        <v>46301</v>
      </c>
      <c r="I8" s="17">
        <f>H8-G8+1</f>
        <v/>
      </c>
      <c r="J8" s="7" t="inlineStr">
        <is>
          <t>C02</t>
        </is>
      </c>
      <c r="K8" s="7" t="inlineStr">
        <is>
          <t>Configuración inicial ejecutada y aprobada por la segunda persona</t>
        </is>
      </c>
      <c r="L8" s="7" t="inlineStr">
        <is>
          <t>Pendiente</t>
        </is>
      </c>
      <c r="M8" s="7" t="inlineStr"/>
    </row>
    <row r="9">
      <c r="A9" s="17" t="inlineStr">
        <is>
          <t>C04</t>
        </is>
      </c>
      <c r="B9" s="18" t="inlineStr">
        <is>
          <t>Preparación y parametrización</t>
        </is>
      </c>
      <c r="C9" s="7" t="inlineStr">
        <is>
          <t>Validación del catálogo PUC por la contadora</t>
        </is>
      </c>
      <c r="D9" s="7" t="inlineStr">
        <is>
          <t>Revisar el catálogo CUIF cargado (2.110 cuentas) en producción y registrar la validación en el sistema.</t>
        </is>
      </c>
      <c r="E9" s="7" t="inlineStr">
        <is>
          <t>Contadora Rafaela Lastra España</t>
        </is>
      </c>
      <c r="F9" s="7" t="inlineStr">
        <is>
          <t>Jorman Copete (IngenIA 365)</t>
        </is>
      </c>
      <c r="G9" s="8" t="n">
        <v>46300</v>
      </c>
      <c r="H9" s="8" t="n">
        <v>46304</v>
      </c>
      <c r="I9" s="17">
        <f>H9-G9+1</f>
        <v/>
      </c>
      <c r="J9" s="7" t="inlineStr">
        <is>
          <t>C03</t>
        </is>
      </c>
      <c r="K9" s="7" t="inlineStr">
        <is>
          <t>Validación registrada en el sistema</t>
        </is>
      </c>
      <c r="L9" s="7" t="inlineStr">
        <is>
          <t>Pendiente</t>
        </is>
      </c>
      <c r="M9" s="7" t="inlineStr"/>
    </row>
    <row r="10">
      <c r="A10" s="19" t="inlineStr">
        <is>
          <t>C05</t>
        </is>
      </c>
      <c r="B10" s="18" t="inlineStr">
        <is>
          <t>Preparación y parametrización</t>
        </is>
      </c>
      <c r="C10" s="20" t="inlineStr">
        <is>
          <t>◆ HITO — Catálogo PUC validado por la contadora</t>
        </is>
      </c>
      <c r="D10" s="7" t="inlineStr"/>
      <c r="E10" s="7" t="inlineStr">
        <is>
          <t>Contadora Rafaela Lastra España</t>
        </is>
      </c>
      <c r="F10" s="7" t="inlineStr">
        <is>
          <t>Jorman Copete (IngenIA 365)</t>
        </is>
      </c>
      <c r="G10" s="8" t="n">
        <v>46304</v>
      </c>
      <c r="H10" s="8" t="n">
        <v>46304</v>
      </c>
      <c r="I10" s="17">
        <f>H10-G10+1</f>
        <v/>
      </c>
      <c r="J10" s="7" t="inlineStr">
        <is>
          <t>C04</t>
        </is>
      </c>
      <c r="K10" s="7" t="inlineStr">
        <is>
          <t>Hito verificado y registrado en el acta de seguimiento</t>
        </is>
      </c>
      <c r="L10" s="7" t="inlineStr">
        <is>
          <t>Pendiente</t>
        </is>
      </c>
      <c r="M10" s="7" t="inlineStr"/>
    </row>
    <row r="11">
      <c r="A11" s="17" t="inlineStr">
        <is>
          <t>C06</t>
        </is>
      </c>
      <c r="B11" s="18" t="inlineStr">
        <is>
          <t>Preparación y parametrización</t>
        </is>
      </c>
      <c r="C11" s="7" t="inlineStr">
        <is>
          <t>Mapa de cuentas actual → nuevo</t>
        </is>
      </c>
      <c r="D11" s="7" t="inlineStr">
        <is>
          <t>Homologar el plan de cuentas del aplicativo actual con el CUIF e identificar las cuentas que requieren auxiliares propios.</t>
        </is>
      </c>
      <c r="E11" s="7" t="inlineStr">
        <is>
          <t>Contadora Rafaela Lastra España + auxiliar contable (por designar)</t>
        </is>
      </c>
      <c r="F11" s="7" t="inlineStr">
        <is>
          <t>Jorman Copete (IngenIA 365)</t>
        </is>
      </c>
      <c r="G11" s="8" t="n">
        <v>46300</v>
      </c>
      <c r="H11" s="8" t="n">
        <v>46311</v>
      </c>
      <c r="I11" s="17">
        <f>H11-G11+1</f>
        <v/>
      </c>
      <c r="J11" s="7" t="inlineStr">
        <is>
          <t>C04</t>
        </is>
      </c>
      <c r="K11" s="7" t="inlineStr">
        <is>
          <t>Hoja de homologación con el 100 % de las cuentas con saldo o movimiento en 2026</t>
        </is>
      </c>
      <c r="L11" s="7" t="inlineStr">
        <is>
          <t>Pendiente</t>
        </is>
      </c>
      <c r="M11" s="7" t="inlineStr"/>
    </row>
    <row r="12">
      <c r="A12" s="17" t="inlineStr">
        <is>
          <t>C07</t>
        </is>
      </c>
      <c r="B12" s="18" t="inlineStr">
        <is>
          <t>Preparación y parametrización</t>
        </is>
      </c>
      <c r="C12" s="7" t="inlineStr">
        <is>
          <t>Plan de cuentas: auxiliares propios</t>
        </is>
      </c>
      <c r="D12" s="7" t="inlineStr">
        <is>
          <t>Crear los auxiliares (7 a 9 dígitos en nivel 5; 10 a 12 en nivel 6): bancos por cuenta, cajas, reservas, fondos sociales, provisiones, excedentes, cartera, aportes e inventarios.</t>
        </is>
      </c>
      <c r="E12" s="7" t="inlineStr">
        <is>
          <t>Contadora Rafaela Lastra España + auxiliar contable (por designar)</t>
        </is>
      </c>
      <c r="F12" s="7" t="inlineStr">
        <is>
          <t>Jorman Copete (IngenIA 365)</t>
        </is>
      </c>
      <c r="G12" s="8" t="n">
        <v>46308</v>
      </c>
      <c r="H12" s="8" t="n">
        <v>46312</v>
      </c>
      <c r="I12" s="17">
        <f>H12-G12+1</f>
        <v/>
      </c>
      <c r="J12" s="7" t="inlineStr">
        <is>
          <t>C06</t>
        </is>
      </c>
      <c r="K12" s="7" t="inlineStr">
        <is>
          <t>Todas las cuentas del mapa existen en el plan de cuentas</t>
        </is>
      </c>
      <c r="L12" s="7" t="inlineStr">
        <is>
          <t>Pendiente</t>
        </is>
      </c>
      <c r="M12" s="7" t="inlineStr">
        <is>
          <t>El 12/10 es festivo</t>
        </is>
      </c>
    </row>
    <row r="13">
      <c r="A13" s="19" t="inlineStr">
        <is>
          <t>C08</t>
        </is>
      </c>
      <c r="B13" s="18" t="inlineStr">
        <is>
          <t>Preparación y parametrización</t>
        </is>
      </c>
      <c r="C13" s="20" t="inlineStr">
        <is>
          <t>◆ HITO — Plan de cuentas listo para Nómina, Cartera y Comercial</t>
        </is>
      </c>
      <c r="D13" s="7" t="inlineStr"/>
      <c r="E13" s="7" t="inlineStr">
        <is>
          <t>Contadora Rafaela Lastra España</t>
        </is>
      </c>
      <c r="F13" s="7" t="inlineStr">
        <is>
          <t>Jorman Copete (IngenIA 365)</t>
        </is>
      </c>
      <c r="G13" s="8" t="n">
        <v>46312</v>
      </c>
      <c r="H13" s="8" t="n">
        <v>46312</v>
      </c>
      <c r="I13" s="17">
        <f>H13-G13+1</f>
        <v/>
      </c>
      <c r="J13" s="7" t="inlineStr">
        <is>
          <t>C07</t>
        </is>
      </c>
      <c r="K13" s="7" t="inlineStr">
        <is>
          <t>Hito verificado y registrado en el acta de seguimiento</t>
        </is>
      </c>
      <c r="L13" s="7" t="inlineStr">
        <is>
          <t>Pendiente</t>
        </is>
      </c>
      <c r="M13" s="7" t="inlineStr"/>
    </row>
    <row r="14">
      <c r="A14" s="17" t="inlineStr">
        <is>
          <t>C09</t>
        </is>
      </c>
      <c r="B14" s="18" t="inlineStr">
        <is>
          <t>Preparación y parametrización</t>
        </is>
      </c>
      <c r="C14" s="7" t="inlineStr">
        <is>
          <t>Tipos de comprobante</t>
        </is>
      </c>
      <c r="D14" s="7" t="inlineStr">
        <is>
          <t>Crear los tipos: ingreso/recibo de caja, egreso, causación, nota contable, nómina (NM), ajuste y apertura.</t>
        </is>
      </c>
      <c r="E14" s="7" t="inlineStr">
        <is>
          <t>Contadora Rafaela Lastra España + auxiliar contable (por designar)</t>
        </is>
      </c>
      <c r="F14" s="7" t="inlineStr">
        <is>
          <t>Jorman Copete (IngenIA 365)</t>
        </is>
      </c>
      <c r="G14" s="8" t="n">
        <v>46308</v>
      </c>
      <c r="H14" s="8" t="n">
        <v>46311</v>
      </c>
      <c r="I14" s="17">
        <f>H14-G14+1</f>
        <v/>
      </c>
      <c r="J14" s="7" t="inlineStr">
        <is>
          <t>C03</t>
        </is>
      </c>
      <c r="K14" s="7" t="inlineStr">
        <is>
          <t>Tipos creados con numeración definida</t>
        </is>
      </c>
      <c r="L14" s="7" t="inlineStr">
        <is>
          <t>Pendiente</t>
        </is>
      </c>
      <c r="M14" s="7" t="inlineStr"/>
    </row>
    <row r="15">
      <c r="A15" s="17" t="inlineStr">
        <is>
          <t>C10</t>
        </is>
      </c>
      <c r="B15" s="18" t="inlineStr">
        <is>
          <t>Preparación y parametrización</t>
        </is>
      </c>
      <c r="C15" s="7" t="inlineStr">
        <is>
          <t>Períodos contables</t>
        </is>
      </c>
      <c r="D15" s="7" t="inlineStr">
        <is>
          <t>Abrir los períodos de 2026 necesarios (noviembre para el paralelo, diciembre para la salida en vivo) y escribir la política de cierre mensual.</t>
        </is>
      </c>
      <c r="E15" s="7" t="inlineStr">
        <is>
          <t>Contadora Rafaela Lastra España + auxiliar contable (por designar)</t>
        </is>
      </c>
      <c r="F15" s="7" t="inlineStr">
        <is>
          <t>Jorman Copete (IngenIA 365)</t>
        </is>
      </c>
      <c r="G15" s="8" t="n">
        <v>46308</v>
      </c>
      <c r="H15" s="8" t="n">
        <v>46311</v>
      </c>
      <c r="I15" s="17">
        <f>H15-G15+1</f>
        <v/>
      </c>
      <c r="J15" s="7" t="inlineStr">
        <is>
          <t>C03</t>
        </is>
      </c>
      <c r="K15" s="7" t="inlineStr">
        <is>
          <t>Períodos abiertos; política de cierre escrita</t>
        </is>
      </c>
      <c r="L15" s="7" t="inlineStr">
        <is>
          <t>Pendiente</t>
        </is>
      </c>
      <c r="M15" s="7" t="inlineStr"/>
    </row>
    <row r="16">
      <c r="A16" s="17" t="inlineStr">
        <is>
          <t>C11</t>
        </is>
      </c>
      <c r="B16" s="18" t="inlineStr">
        <is>
          <t>Preparación y parametrización</t>
        </is>
      </c>
      <c r="C16" s="7" t="inlineStr">
        <is>
          <t>Terceros (Maestros → Personas)</t>
        </is>
      </c>
      <c r="D16" s="7" t="inlineStr">
        <is>
          <t>Verificar o crear las personas de proveedores, entidades, bancos, empleados y asociados que usan las transacciones del paralelo.</t>
        </is>
      </c>
      <c r="E16" s="7" t="inlineStr">
        <is>
          <t>Auxiliar contable (por designar)</t>
        </is>
      </c>
      <c r="F16" s="7" t="inlineStr">
        <is>
          <t>Jorman Copete (IngenIA 365)</t>
        </is>
      </c>
      <c r="G16" s="8" t="n">
        <v>46301</v>
      </c>
      <c r="H16" s="8" t="n">
        <v>46318</v>
      </c>
      <c r="I16" s="17">
        <f>H16-G16+1</f>
        <v/>
      </c>
      <c r="J16" s="7" t="inlineStr">
        <is>
          <t>C01</t>
        </is>
      </c>
      <c r="K16" s="7" t="inlineStr">
        <is>
          <t>Terceros de la muestra completos con NIT/cédula y ciudad</t>
        </is>
      </c>
      <c r="L16" s="7" t="inlineStr">
        <is>
          <t>Pendiente</t>
        </is>
      </c>
      <c r="M16" s="7" t="inlineStr"/>
    </row>
    <row r="17">
      <c r="A17" s="17" t="inlineStr">
        <is>
          <t>C12</t>
        </is>
      </c>
      <c r="B17" s="18" t="inlineStr">
        <is>
          <t>Preparación y parametrización</t>
        </is>
      </c>
      <c r="C17" s="7" t="inlineStr">
        <is>
          <t>Maestros transversales</t>
        </is>
      </c>
      <c r="D17" s="7" t="inlineStr">
        <is>
          <t>Ciudades, bancos, centros de costo y sucursales.</t>
        </is>
      </c>
      <c r="E17" s="7" t="inlineStr">
        <is>
          <t>Contadora Rafaela Lastra España + auxiliar contable (por designar)</t>
        </is>
      </c>
      <c r="F17" s="7" t="inlineStr">
        <is>
          <t>Jorman Copete (IngenIA 365)</t>
        </is>
      </c>
      <c r="G17" s="8" t="n">
        <v>46301</v>
      </c>
      <c r="H17" s="8" t="n">
        <v>46304</v>
      </c>
      <c r="I17" s="17">
        <f>H17-G17+1</f>
        <v/>
      </c>
      <c r="J17" s="7" t="inlineStr">
        <is>
          <t>C01</t>
        </is>
      </c>
      <c r="K17" s="7" t="inlineStr">
        <is>
          <t>Maestros verificados contra el aplicativo actual</t>
        </is>
      </c>
      <c r="L17" s="7" t="inlineStr">
        <is>
          <t>Pendiente</t>
        </is>
      </c>
      <c r="M17" s="7" t="inlineStr"/>
    </row>
    <row r="18">
      <c r="A18" s="17" t="inlineStr">
        <is>
          <t>C13</t>
        </is>
      </c>
      <c r="B18" s="18" t="inlineStr">
        <is>
          <t>Preparación y parametrización</t>
        </is>
      </c>
      <c r="C18" s="7" t="inlineStr">
        <is>
          <t>Cuentas contables por concepto de nómina (con Nómina)</t>
        </is>
      </c>
      <c r="D18" s="7" t="inlineStr">
        <is>
          <t>Acompañar al equipo de Nómina en la asignación de cuentas por concepto (ver N14).</t>
        </is>
      </c>
      <c r="E18" s="7" t="inlineStr">
        <is>
          <t>Contadora Rafaela Lastra España + Equipo Nómina (2 personas, por designar)</t>
        </is>
      </c>
      <c r="F18" s="7" t="inlineStr">
        <is>
          <t>Jorman Copete (IngenIA 365)</t>
        </is>
      </c>
      <c r="G18" s="8" t="n">
        <v>46314</v>
      </c>
      <c r="H18" s="8" t="n">
        <v>46318</v>
      </c>
      <c r="I18" s="17">
        <f>H18-G18+1</f>
        <v/>
      </c>
      <c r="J18" s="7" t="inlineStr">
        <is>
          <t>C08</t>
        </is>
      </c>
      <c r="K18" s="7" t="inlineStr">
        <is>
          <t>Liquidación de prueba aprobada genera un NM correcto</t>
        </is>
      </c>
      <c r="L18" s="7" t="inlineStr">
        <is>
          <t>Pendiente</t>
        </is>
      </c>
      <c r="M18" s="7" t="inlineStr"/>
    </row>
    <row r="19">
      <c r="A19" s="17" t="inlineStr">
        <is>
          <t>C14</t>
        </is>
      </c>
      <c r="B19" s="18" t="inlineStr">
        <is>
          <t>Preparación y parametrización</t>
        </is>
      </c>
      <c r="C19" s="7" t="inlineStr">
        <is>
          <t>Cuentas contables para Cartera y Comercial</t>
        </is>
      </c>
      <c r="D19" s="7" t="inlineStr">
        <is>
          <t>Definir las cuentas que usarán Cartera (créditos, intereses, mora, provisiones, aportes) e Inventario/Comercial (inventarios, costo, ventas, IVA).</t>
        </is>
      </c>
      <c r="E19" s="7" t="inlineStr">
        <is>
          <t>Contadora Rafaela Lastra España</t>
        </is>
      </c>
      <c r="F19" s="7" t="inlineStr">
        <is>
          <t>Jorman Copete (IngenIA 365)</t>
        </is>
      </c>
      <c r="G19" s="8" t="n">
        <v>46315</v>
      </c>
      <c r="H19" s="8" t="n">
        <v>46325</v>
      </c>
      <c r="I19" s="17">
        <f>H19-G19+1</f>
        <v/>
      </c>
      <c r="J19" s="7" t="inlineStr">
        <is>
          <t>C08</t>
        </is>
      </c>
      <c r="K19" s="7" t="inlineStr">
        <is>
          <t>Documento de cuentas entregado a los equipos de Cartera y Comercial</t>
        </is>
      </c>
      <c r="L19" s="7" t="inlineStr">
        <is>
          <t>Pendiente</t>
        </is>
      </c>
      <c r="M19" s="7" t="inlineStr"/>
    </row>
    <row r="20">
      <c r="A20" s="17" t="inlineStr">
        <is>
          <t>C15</t>
        </is>
      </c>
      <c r="B20" s="18" t="inlineStr">
        <is>
          <t>Preparación y parametrización</t>
        </is>
      </c>
      <c r="C20" s="7" t="inlineStr">
        <is>
          <t>Parametrizaciones inválidas en cero</t>
        </is>
      </c>
      <c r="D20" s="7" t="inlineStr">
        <is>
          <t>Revisar la pantalla de parametrizaciones inválidas y corregir cada pendiente.</t>
        </is>
      </c>
      <c r="E20" s="7" t="inlineStr">
        <is>
          <t>Contadora Rafaela Lastra España + auxiliar contable (por designar)</t>
        </is>
      </c>
      <c r="F20" s="7" t="inlineStr">
        <is>
          <t>Jorman Copete (IngenIA 365)</t>
        </is>
      </c>
      <c r="G20" s="8" t="n">
        <v>46321</v>
      </c>
      <c r="H20" s="8" t="n">
        <v>46325</v>
      </c>
      <c r="I20" s="17">
        <f>H20-G20+1</f>
        <v/>
      </c>
      <c r="J20" s="7" t="inlineStr">
        <is>
          <t>C07 a C14</t>
        </is>
      </c>
      <c r="K20" s="7" t="inlineStr">
        <is>
          <t>Pantalla sin pendientes</t>
        </is>
      </c>
      <c r="L20" s="7" t="inlineStr">
        <is>
          <t>Pendiente</t>
        </is>
      </c>
      <c r="M20" s="7" t="inlineStr"/>
    </row>
    <row r="21">
      <c r="A21" s="17" t="inlineStr">
        <is>
          <t>C16</t>
        </is>
      </c>
      <c r="B21" s="18" t="inlineStr">
        <is>
          <t>Preparación y parametrización</t>
        </is>
      </c>
      <c r="C21" s="7" t="inlineStr">
        <is>
          <t>Comprobante de prueba por tipo</t>
        </is>
      </c>
      <c r="D21" s="7" t="inlineStr">
        <is>
          <t>Digitar en borradores un comprobante de cada tipo (operador) y contabilizarlo (contadora) con validación por campo; anular según el protocolo.</t>
        </is>
      </c>
      <c r="E21" s="7" t="inlineStr">
        <is>
          <t>Contadora Rafaela Lastra España + auxiliar contable (por designar)</t>
        </is>
      </c>
      <c r="F21" s="7" t="inlineStr">
        <is>
          <t>Jorman Copete (IngenIA 365)</t>
        </is>
      </c>
      <c r="G21" s="8" t="n">
        <v>46322</v>
      </c>
      <c r="H21" s="8" t="n">
        <v>46325</v>
      </c>
      <c r="I21" s="17">
        <f>H21-G21+1</f>
        <v/>
      </c>
      <c r="J21" s="7" t="inlineStr">
        <is>
          <t>C09, C15</t>
        </is>
      </c>
      <c r="K21" s="7" t="inlineStr">
        <is>
          <t>Un comprobante por tipo contabilizado y anulado; protocolo de cuatro ojos probado</t>
        </is>
      </c>
      <c r="L21" s="7" t="inlineStr">
        <is>
          <t>Pendiente</t>
        </is>
      </c>
      <c r="M21" s="7" t="inlineStr"/>
    </row>
    <row r="22">
      <c r="A22" s="19" t="inlineStr">
        <is>
          <t>C17</t>
        </is>
      </c>
      <c r="B22" s="18" t="inlineStr">
        <is>
          <t>Preparación y parametrización</t>
        </is>
      </c>
      <c r="C22" s="20" t="inlineStr">
        <is>
          <t>◆ HITO — Fin de parametrización de Contabilidad</t>
        </is>
      </c>
      <c r="D22" s="7" t="inlineStr"/>
      <c r="E22" s="7" t="inlineStr">
        <is>
          <t>Contadora Rafaela Lastra España</t>
        </is>
      </c>
      <c r="F22" s="7" t="inlineStr">
        <is>
          <t>Jorman Copete (IngenIA 365)</t>
        </is>
      </c>
      <c r="G22" s="8" t="n">
        <v>46326</v>
      </c>
      <c r="H22" s="8" t="n">
        <v>46326</v>
      </c>
      <c r="I22" s="17">
        <f>H22-G22+1</f>
        <v/>
      </c>
      <c r="J22" s="7" t="inlineStr">
        <is>
          <t>C15, C16</t>
        </is>
      </c>
      <c r="K22" s="7" t="inlineStr">
        <is>
          <t>Hito verificado y registrado en el acta de seguimiento</t>
        </is>
      </c>
      <c r="L22" s="7" t="inlineStr">
        <is>
          <t>Pendiente</t>
        </is>
      </c>
      <c r="M22" s="7" t="inlineStr"/>
    </row>
    <row r="23">
      <c r="A23" s="17" t="inlineStr">
        <is>
          <t>C18</t>
        </is>
      </c>
      <c r="B23" s="21" t="inlineStr">
        <is>
          <t>Capacitación</t>
        </is>
      </c>
      <c r="C23" s="7" t="inlineStr">
        <is>
          <t>Sesión 1 (sáb 26/09): introducción — catálogo CUIF, niveles, cuatro ojos y plan del módulo</t>
        </is>
      </c>
      <c r="D23" s="7" t="inlineStr">
        <is>
          <t>Sesión de capacitación por proceso, con ejercicios sobre los datos reales de la cooperativa.</t>
        </is>
      </c>
      <c r="E23" s="7" t="inlineStr">
        <is>
          <t>Contadora Rafaela Lastra España + auxiliar contable (por designar)</t>
        </is>
      </c>
      <c r="F23" s="7" t="inlineStr">
        <is>
          <t>Jorman Copete (IngenIA 365)</t>
        </is>
      </c>
      <c r="G23" s="8" t="n">
        <v>46291</v>
      </c>
      <c r="H23" s="8" t="n">
        <v>46291</v>
      </c>
      <c r="I23" s="17">
        <f>H23-G23+1</f>
        <v/>
      </c>
      <c r="J23" s="7" t="inlineStr"/>
      <c r="K23" s="7" t="inlineStr">
        <is>
          <t>Asistencia de las 2 personas del módulo; ejercicio guiado completado en el sistema</t>
        </is>
      </c>
      <c r="L23" s="7" t="inlineStr">
        <is>
          <t>Pendiente</t>
        </is>
      </c>
      <c r="M23" s="7" t="inlineStr">
        <is>
          <t>Horario y modalidad: acordado entre las partes</t>
        </is>
      </c>
    </row>
    <row r="24">
      <c r="A24" s="17" t="inlineStr">
        <is>
          <t>C19</t>
        </is>
      </c>
      <c r="B24" s="21" t="inlineStr">
        <is>
          <t>Capacitación</t>
        </is>
      </c>
      <c r="C24" s="7" t="inlineStr">
        <is>
          <t>Sesión 2 (sáb 03/10): configuración inicial, catálogos y validación del catálogo</t>
        </is>
      </c>
      <c r="D24" s="7" t="inlineStr">
        <is>
          <t>Sesión de capacitación por proceso, con ejercicios sobre los datos reales de la cooperativa.</t>
        </is>
      </c>
      <c r="E24" s="7" t="inlineStr">
        <is>
          <t>Contadora Rafaela Lastra España + auxiliar contable (por designar)</t>
        </is>
      </c>
      <c r="F24" s="7" t="inlineStr">
        <is>
          <t>Jorman Copete (IngenIA 365)</t>
        </is>
      </c>
      <c r="G24" s="8" t="n">
        <v>46298</v>
      </c>
      <c r="H24" s="8" t="n">
        <v>46298</v>
      </c>
      <c r="I24" s="17">
        <f>H24-G24+1</f>
        <v/>
      </c>
      <c r="J24" s="7" t="inlineStr"/>
      <c r="K24" s="7" t="inlineStr">
        <is>
          <t>Asistencia de las 2 personas del módulo; ejercicio guiado completado en el sistema</t>
        </is>
      </c>
      <c r="L24" s="7" t="inlineStr">
        <is>
          <t>Pendiente</t>
        </is>
      </c>
      <c r="M24" s="7" t="inlineStr">
        <is>
          <t>Horario y modalidad: acordado entre las partes</t>
        </is>
      </c>
    </row>
    <row r="25">
      <c r="A25" s="17" t="inlineStr">
        <is>
          <t>C20</t>
        </is>
      </c>
      <c r="B25" s="21" t="inlineStr">
        <is>
          <t>Capacitación</t>
        </is>
      </c>
      <c r="C25" s="7" t="inlineStr">
        <is>
          <t>Sesión 3 (sáb 10/10): plan de cuentas, tipos de comprobante y períodos</t>
        </is>
      </c>
      <c r="D25" s="7" t="inlineStr">
        <is>
          <t>Sesión de capacitación por proceso, con ejercicios sobre los datos reales de la cooperativa.</t>
        </is>
      </c>
      <c r="E25" s="7" t="inlineStr">
        <is>
          <t>Contadora Rafaela Lastra España + auxiliar contable (por designar)</t>
        </is>
      </c>
      <c r="F25" s="7" t="inlineStr">
        <is>
          <t>Jorman Copete (IngenIA 365)</t>
        </is>
      </c>
      <c r="G25" s="8" t="n">
        <v>46305</v>
      </c>
      <c r="H25" s="8" t="n">
        <v>46305</v>
      </c>
      <c r="I25" s="17">
        <f>H25-G25+1</f>
        <v/>
      </c>
      <c r="J25" s="7" t="inlineStr"/>
      <c r="K25" s="7" t="inlineStr">
        <is>
          <t>Asistencia de las 2 personas del módulo; ejercicio guiado completado en el sistema</t>
        </is>
      </c>
      <c r="L25" s="7" t="inlineStr">
        <is>
          <t>Pendiente</t>
        </is>
      </c>
      <c r="M25" s="7" t="inlineStr">
        <is>
          <t>Horario y modalidad: acordado entre las partes</t>
        </is>
      </c>
    </row>
    <row r="26">
      <c r="A26" s="17" t="inlineStr">
        <is>
          <t>C21</t>
        </is>
      </c>
      <c r="B26" s="21" t="inlineStr">
        <is>
          <t>Capacitación</t>
        </is>
      </c>
      <c r="C26" s="7" t="inlineStr">
        <is>
          <t>Sesión 4 (sáb 17/10): comprobantes y borradores — causaciones, pagos y egresos con casos de la cooperativa</t>
        </is>
      </c>
      <c r="D26" s="7" t="inlineStr">
        <is>
          <t>Sesión de capacitación por proceso, con ejercicios sobre los datos reales de la cooperativa.</t>
        </is>
      </c>
      <c r="E26" s="7" t="inlineStr">
        <is>
          <t>Contadora Rafaela Lastra España + auxiliar contable (por designar)</t>
        </is>
      </c>
      <c r="F26" s="7" t="inlineStr">
        <is>
          <t>Jorman Copete (IngenIA 365)</t>
        </is>
      </c>
      <c r="G26" s="8" t="n">
        <v>46312</v>
      </c>
      <c r="H26" s="8" t="n">
        <v>46312</v>
      </c>
      <c r="I26" s="17">
        <f>H26-G26+1</f>
        <v/>
      </c>
      <c r="J26" s="7" t="inlineStr"/>
      <c r="K26" s="7" t="inlineStr">
        <is>
          <t>Asistencia de las 2 personas del módulo; ejercicio guiado completado en el sistema</t>
        </is>
      </c>
      <c r="L26" s="7" t="inlineStr">
        <is>
          <t>Pendiente</t>
        </is>
      </c>
      <c r="M26" s="7" t="inlineStr">
        <is>
          <t>Horario y modalidad: acordado entre las partes</t>
        </is>
      </c>
    </row>
    <row r="27">
      <c r="A27" s="17" t="inlineStr">
        <is>
          <t>C22</t>
        </is>
      </c>
      <c r="B27" s="21" t="inlineStr">
        <is>
          <t>Capacitación</t>
        </is>
      </c>
      <c r="C27" s="7" t="inlineStr">
        <is>
          <t>Sesión 5 (sáb 24/10): nómina (NM), cuentas de cartera e inventario; protocolo del paralelo</t>
        </is>
      </c>
      <c r="D27" s="7" t="inlineStr">
        <is>
          <t>Sesión de capacitación por proceso, con ejercicios sobre los datos reales de la cooperativa.</t>
        </is>
      </c>
      <c r="E27" s="7" t="inlineStr">
        <is>
          <t>Contadora Rafaela Lastra España + auxiliar contable (por designar)</t>
        </is>
      </c>
      <c r="F27" s="7" t="inlineStr">
        <is>
          <t>Jorman Copete (IngenIA 365)</t>
        </is>
      </c>
      <c r="G27" s="8" t="n">
        <v>46319</v>
      </c>
      <c r="H27" s="8" t="n">
        <v>46319</v>
      </c>
      <c r="I27" s="17">
        <f>H27-G27+1</f>
        <v/>
      </c>
      <c r="J27" s="7" t="inlineStr"/>
      <c r="K27" s="7" t="inlineStr">
        <is>
          <t>Asistencia de las 2 personas del módulo; ejercicio guiado completado en el sistema</t>
        </is>
      </c>
      <c r="L27" s="7" t="inlineStr">
        <is>
          <t>Pendiente</t>
        </is>
      </c>
      <c r="M27" s="7" t="inlineStr">
        <is>
          <t>Horario y modalidad: acordado entre las partes</t>
        </is>
      </c>
    </row>
    <row r="28">
      <c r="A28" s="17" t="inlineStr">
        <is>
          <t>C23</t>
        </is>
      </c>
      <c r="B28" s="21" t="inlineStr">
        <is>
          <t>Capacitación</t>
        </is>
      </c>
      <c r="C28" s="7" t="inlineStr">
        <is>
          <t>Sesión 6 (sáb 31/10): cierre de parametrización, muestra del paralelo y bitácora de diferencias</t>
        </is>
      </c>
      <c r="D28" s="7" t="inlineStr">
        <is>
          <t>Sesión de capacitación por proceso, con ejercicios sobre los datos reales de la cooperativa.</t>
        </is>
      </c>
      <c r="E28" s="7" t="inlineStr">
        <is>
          <t>Contadora Rafaela Lastra España + auxiliar contable (por designar)</t>
        </is>
      </c>
      <c r="F28" s="7" t="inlineStr">
        <is>
          <t>Jorman Copete (IngenIA 365)</t>
        </is>
      </c>
      <c r="G28" s="8" t="n">
        <v>46326</v>
      </c>
      <c r="H28" s="8" t="n">
        <v>46326</v>
      </c>
      <c r="I28" s="17">
        <f>H28-G28+1</f>
        <v/>
      </c>
      <c r="J28" s="7" t="inlineStr"/>
      <c r="K28" s="7" t="inlineStr">
        <is>
          <t>Asistencia de las 2 personas del módulo; ejercicio guiado completado en el sistema</t>
        </is>
      </c>
      <c r="L28" s="7" t="inlineStr">
        <is>
          <t>Pendiente</t>
        </is>
      </c>
      <c r="M28" s="7" t="inlineStr">
        <is>
          <t>Horario y modalidad: acordado entre las partes</t>
        </is>
      </c>
    </row>
    <row r="29">
      <c r="A29" s="17" t="inlineStr">
        <is>
          <t>C24</t>
        </is>
      </c>
      <c r="B29" s="21" t="inlineStr">
        <is>
          <t>Capacitación</t>
        </is>
      </c>
      <c r="C29" s="7" t="inlineStr">
        <is>
          <t>Sesión entre semana (mié 11/11, día por acordar): revisión de los comprobantes del ciclo 1 con la contadora</t>
        </is>
      </c>
      <c r="D29" s="7" t="inlineStr">
        <is>
          <t>Sesión de capacitación por proceso, con ejercicios sobre los datos reales de la cooperativa.</t>
        </is>
      </c>
      <c r="E29" s="7" t="inlineStr">
        <is>
          <t>Contadora Rafaela Lastra España + auxiliar contable (por designar)</t>
        </is>
      </c>
      <c r="F29" s="7" t="inlineStr">
        <is>
          <t>Jorman Copete (IngenIA 365)</t>
        </is>
      </c>
      <c r="G29" s="8" t="n">
        <v>46337</v>
      </c>
      <c r="H29" s="8" t="n">
        <v>46337</v>
      </c>
      <c r="I29" s="17">
        <f>H29-G29+1</f>
        <v/>
      </c>
      <c r="J29" s="7" t="inlineStr"/>
      <c r="K29" s="7" t="inlineStr">
        <is>
          <t>Asistencia de las 2 personas del módulo; ejercicio guiado completado en el sistema</t>
        </is>
      </c>
      <c r="L29" s="7" t="inlineStr">
        <is>
          <t>Pendiente</t>
        </is>
      </c>
      <c r="M29" s="7" t="inlineStr">
        <is>
          <t>Horario y modalidad: acordado entre las partes</t>
        </is>
      </c>
    </row>
    <row r="30">
      <c r="A30" s="17" t="inlineStr">
        <is>
          <t>C25</t>
        </is>
      </c>
      <c r="B30" s="22" t="inlineStr">
        <is>
          <t>Paralelo con el aplicativo actual</t>
        </is>
      </c>
      <c r="C30" s="7" t="inlineStr">
        <is>
          <t>Muestra de transacciones del paralelo</t>
        </is>
      </c>
      <c r="D30" s="7" t="inlineStr">
        <is>
          <t>Seleccionar lo que se replica: causaciones de compras y servicios, egresos y pagos, recibos de caja, movimientos bancarios, notas de ajuste, nómina (NM) y un caso de cada situación especial (fondos sociales, excedentes, provisiones).</t>
        </is>
      </c>
      <c r="E30" s="7" t="inlineStr">
        <is>
          <t>Contadora Rafaela Lastra España + Gestor del proyecto (por designar)</t>
        </is>
      </c>
      <c r="F30" s="7" t="inlineStr">
        <is>
          <t>Jorman Copete (IngenIA 365)</t>
        </is>
      </c>
      <c r="G30" s="8" t="n">
        <v>46329</v>
      </c>
      <c r="H30" s="8" t="n">
        <v>46330</v>
      </c>
      <c r="I30" s="17">
        <f>H30-G30+1</f>
        <v/>
      </c>
      <c r="J30" s="7" t="inlineStr">
        <is>
          <t>C17</t>
        </is>
      </c>
      <c r="K30" s="7" t="inlineStr">
        <is>
          <t>Lista con al menos una transacción por tipo de comprobante y por cuenta principal</t>
        </is>
      </c>
      <c r="L30" s="7" t="inlineStr">
        <is>
          <t>Pendiente</t>
        </is>
      </c>
      <c r="M30" s="7" t="inlineStr">
        <is>
          <t>No se replica toda la operación: sólo las transacciones más importantes y las que cubren todos los casos de la entidad, para interiorizar el manejo y detectar inconsistencias antes de la salida en vivo</t>
        </is>
      </c>
    </row>
    <row r="31">
      <c r="A31" s="17" t="inlineStr">
        <is>
          <t>C26</t>
        </is>
      </c>
      <c r="B31" s="22" t="inlineStr">
        <is>
          <t>Paralelo con el aplicativo actual</t>
        </is>
      </c>
      <c r="C31" s="7" t="inlineStr">
        <is>
          <t>Ciclo 1: digitar y contabilizar la muestra (1 al 14/11)</t>
        </is>
      </c>
      <c r="D31" s="7" t="inlineStr">
        <is>
          <t>El operador digita en borradores; la contadora revisa y contabiliza.</t>
        </is>
      </c>
      <c r="E31" s="7" t="inlineStr">
        <is>
          <t>Contadora Rafaela Lastra España + auxiliar contable (por designar)</t>
        </is>
      </c>
      <c r="F31" s="7" t="inlineStr">
        <is>
          <t>Jorman Copete (IngenIA 365)</t>
        </is>
      </c>
      <c r="G31" s="8" t="n">
        <v>46329</v>
      </c>
      <c r="H31" s="8" t="n">
        <v>46339</v>
      </c>
      <c r="I31" s="17">
        <f>H31-G31+1</f>
        <v/>
      </c>
      <c r="J31" s="7" t="inlineStr">
        <is>
          <t>C25</t>
        </is>
      </c>
      <c r="K31" s="7" t="inlineStr">
        <is>
          <t>Comprobantes de la muestra contabilizados</t>
        </is>
      </c>
      <c r="L31" s="7" t="inlineStr">
        <is>
          <t>Pendiente</t>
        </is>
      </c>
      <c r="M31" s="7" t="inlineStr"/>
    </row>
    <row r="32">
      <c r="A32" s="17" t="inlineStr">
        <is>
          <t>C27</t>
        </is>
      </c>
      <c r="B32" s="22" t="inlineStr">
        <is>
          <t>Paralelo con el aplicativo actual</t>
        </is>
      </c>
      <c r="C32" s="7" t="inlineStr">
        <is>
          <t>Ciclo 1: comparar con el aplicativo actual y registrar diferencias</t>
        </is>
      </c>
      <c r="D32" s="7" t="inlineStr">
        <is>
          <t>Comparar saldos y movimientos de las cuentas de la muestra; registrar cada diferencia en la bitácora con causa y acción.</t>
        </is>
      </c>
      <c r="E32" s="7" t="inlineStr">
        <is>
          <t>Contadora Rafaela Lastra España + auxiliar contable (por designar)</t>
        </is>
      </c>
      <c r="F32" s="7" t="inlineStr">
        <is>
          <t>Jorman Copete (IngenIA 365)</t>
        </is>
      </c>
      <c r="G32" s="8" t="n">
        <v>46339</v>
      </c>
      <c r="H32" s="8" t="n">
        <v>46340</v>
      </c>
      <c r="I32" s="17">
        <f>H32-G32+1</f>
        <v/>
      </c>
      <c r="J32" s="7" t="inlineStr">
        <is>
          <t>C26</t>
        </is>
      </c>
      <c r="K32" s="7" t="inlineStr">
        <is>
          <t>Diferencias registradas y con responsable</t>
        </is>
      </c>
      <c r="L32" s="7" t="inlineStr">
        <is>
          <t>Pendiente</t>
        </is>
      </c>
      <c r="M32" s="7" t="inlineStr"/>
    </row>
    <row r="33">
      <c r="A33" s="17" t="inlineStr">
        <is>
          <t>C28</t>
        </is>
      </c>
      <c r="B33" s="22" t="inlineStr">
        <is>
          <t>Paralelo con el aplicativo actual</t>
        </is>
      </c>
      <c r="C33" s="7" t="inlineStr">
        <is>
          <t>Verificar los comprobantes NM de noviembre</t>
        </is>
      </c>
      <c r="D33" s="7" t="inlineStr">
        <is>
          <t>Revisar los NM de las dos quincenas de noviembre generados por Nómina.</t>
        </is>
      </c>
      <c r="E33" s="7" t="inlineStr">
        <is>
          <t>Contadora Rafaela Lastra España</t>
        </is>
      </c>
      <c r="F33" s="7" t="inlineStr">
        <is>
          <t>Jorman Copete (IngenIA 365)</t>
        </is>
      </c>
      <c r="G33" s="8" t="n">
        <v>46343</v>
      </c>
      <c r="H33" s="8" t="n">
        <v>46354</v>
      </c>
      <c r="I33" s="17">
        <f>H33-G33+1</f>
        <v/>
      </c>
      <c r="J33" s="7" t="inlineStr">
        <is>
          <t>N31, N33 (Nómina)</t>
        </is>
      </c>
      <c r="K33" s="7" t="inlineStr">
        <is>
          <t>NM revisados y cuadrados con la contabilización actual</t>
        </is>
      </c>
      <c r="L33" s="7" t="inlineStr">
        <is>
          <t>Pendiente</t>
        </is>
      </c>
      <c r="M33" s="7" t="inlineStr"/>
    </row>
    <row r="34">
      <c r="A34" s="17" t="inlineStr">
        <is>
          <t>C29</t>
        </is>
      </c>
      <c r="B34" s="22" t="inlineStr">
        <is>
          <t>Paralelo con el aplicativo actual</t>
        </is>
      </c>
      <c r="C34" s="7" t="inlineStr">
        <is>
          <t>Ciclo 2: digitar y contabilizar la muestra (15 al 27/11)</t>
        </is>
      </c>
      <c r="D34" s="7" t="inlineStr"/>
      <c r="E34" s="7" t="inlineStr">
        <is>
          <t>Contadora Rafaela Lastra España + auxiliar contable (por designar)</t>
        </is>
      </c>
      <c r="F34" s="7" t="inlineStr">
        <is>
          <t>Jorman Copete (IngenIA 365)</t>
        </is>
      </c>
      <c r="G34" s="8" t="n">
        <v>46343</v>
      </c>
      <c r="H34" s="8" t="n">
        <v>46353</v>
      </c>
      <c r="I34" s="17">
        <f>H34-G34+1</f>
        <v/>
      </c>
      <c r="J34" s="7" t="inlineStr">
        <is>
          <t>C27</t>
        </is>
      </c>
      <c r="K34" s="7" t="inlineStr">
        <is>
          <t>Comprobantes de la muestra contabilizados</t>
        </is>
      </c>
      <c r="L34" s="7" t="inlineStr">
        <is>
          <t>Pendiente</t>
        </is>
      </c>
      <c r="M34" s="7" t="inlineStr">
        <is>
          <t>El 16/11 es festivo</t>
        </is>
      </c>
    </row>
    <row r="35">
      <c r="A35" s="17" t="inlineStr">
        <is>
          <t>C30</t>
        </is>
      </c>
      <c r="B35" s="22" t="inlineStr">
        <is>
          <t>Paralelo con el aplicativo actual</t>
        </is>
      </c>
      <c r="C35" s="7" t="inlineStr">
        <is>
          <t>Ciclo 2: comparar y registrar diferencias</t>
        </is>
      </c>
      <c r="D35" s="7" t="inlineStr"/>
      <c r="E35" s="7" t="inlineStr">
        <is>
          <t>Contadora Rafaela Lastra España + auxiliar contable (por designar)</t>
        </is>
      </c>
      <c r="F35" s="7" t="inlineStr">
        <is>
          <t>Jorman Copete (IngenIA 365)</t>
        </is>
      </c>
      <c r="G35" s="8" t="n">
        <v>46353</v>
      </c>
      <c r="H35" s="8" t="n">
        <v>46354</v>
      </c>
      <c r="I35" s="17">
        <f>H35-G35+1</f>
        <v/>
      </c>
      <c r="J35" s="7" t="inlineStr">
        <is>
          <t>C29</t>
        </is>
      </c>
      <c r="K35" s="7" t="inlineStr">
        <is>
          <t>Diferencias registradas; sin diferencias abiertas sin plan</t>
        </is>
      </c>
      <c r="L35" s="7" t="inlineStr">
        <is>
          <t>Pendiente</t>
        </is>
      </c>
      <c r="M35" s="7" t="inlineStr"/>
    </row>
    <row r="36">
      <c r="A36" s="17" t="inlineStr">
        <is>
          <t>C31</t>
        </is>
      </c>
      <c r="B36" s="22" t="inlineStr">
        <is>
          <t>Paralelo con el aplicativo actual</t>
        </is>
      </c>
      <c r="C36" s="7" t="inlineStr">
        <is>
          <t>Ajustes de parametrización derivados del paralelo</t>
        </is>
      </c>
      <c r="D36" s="7" t="inlineStr"/>
      <c r="E36" s="7" t="inlineStr">
        <is>
          <t>Contadora Rafaela Lastra España + auxiliar contable (por designar)</t>
        </is>
      </c>
      <c r="F36" s="7" t="inlineStr">
        <is>
          <t>Jorman Copete (IngenIA 365)</t>
        </is>
      </c>
      <c r="G36" s="8" t="n">
        <v>46340</v>
      </c>
      <c r="H36" s="8" t="n">
        <v>46353</v>
      </c>
      <c r="I36" s="17">
        <f>H36-G36+1</f>
        <v/>
      </c>
      <c r="J36" s="7" t="inlineStr">
        <is>
          <t>C27</t>
        </is>
      </c>
      <c r="K36" s="7" t="inlineStr">
        <is>
          <t>Cada diferencia de la bitácora cerrada con ajuste o justificación</t>
        </is>
      </c>
      <c r="L36" s="7" t="inlineStr">
        <is>
          <t>Pendiente</t>
        </is>
      </c>
      <c r="M36" s="7" t="inlineStr"/>
    </row>
    <row r="37">
      <c r="A37" s="17" t="inlineStr">
        <is>
          <t>C32</t>
        </is>
      </c>
      <c r="B37" s="22" t="inlineStr">
        <is>
          <t>Paralelo con el aplicativo actual</t>
        </is>
      </c>
      <c r="C37" s="7" t="inlineStr">
        <is>
          <t>Entrega E2: informes contables y estados financieros (dependencia del proveedor)</t>
        </is>
      </c>
      <c r="D37" s="7" t="inlineStr">
        <is>
          <t>IngenIA entrega balance de prueba, libros (diario, mayor, auxiliares), ESF y ERI. Fecha por confirmar por el proveedor (ver G07).</t>
        </is>
      </c>
      <c r="E37" s="7" t="inlineStr">
        <is>
          <t>IngenIA 365 (desarrollo)</t>
        </is>
      </c>
      <c r="F37" s="7" t="inlineStr">
        <is>
          <t>IngenIA 365 (desarrollo)</t>
        </is>
      </c>
      <c r="G37" s="8" t="n">
        <v>46328</v>
      </c>
      <c r="H37" s="8" t="n">
        <v>46354</v>
      </c>
      <c r="I37" s="17">
        <f>H37-G37+1</f>
        <v/>
      </c>
      <c r="J37" s="7" t="inlineStr"/>
      <c r="K37" s="7" t="inlineStr">
        <is>
          <t>Entrega instalada en producción</t>
        </is>
      </c>
      <c r="L37" s="7" t="inlineStr">
        <is>
          <t>Pendiente</t>
        </is>
      </c>
      <c r="M37" s="7" t="inlineStr">
        <is>
          <t>Sin E2, la comparación de saldos del paralelo se hace consultando comprobantes y exportando</t>
        </is>
      </c>
    </row>
    <row r="38">
      <c r="A38" s="17" t="inlineStr">
        <is>
          <t>C33</t>
        </is>
      </c>
      <c r="B38" s="22" t="inlineStr">
        <is>
          <t>Paralelo con el aplicativo actual</t>
        </is>
      </c>
      <c r="C38" s="7" t="inlineStr">
        <is>
          <t>Comparar el balance de prueba del paralelo con el actual (requiere E2)</t>
        </is>
      </c>
      <c r="D38" s="7" t="inlineStr"/>
      <c r="E38" s="7" t="inlineStr">
        <is>
          <t>Contadora Rafaela Lastra España</t>
        </is>
      </c>
      <c r="F38" s="7" t="inlineStr">
        <is>
          <t>Jorman Copete (IngenIA 365)</t>
        </is>
      </c>
      <c r="G38" s="8" t="n">
        <v>46349</v>
      </c>
      <c r="H38" s="8" t="n">
        <v>46354</v>
      </c>
      <c r="I38" s="17">
        <f>H38-G38+1</f>
        <v/>
      </c>
      <c r="J38" s="7" t="inlineStr">
        <is>
          <t>C32</t>
        </is>
      </c>
      <c r="K38" s="7" t="inlineStr">
        <is>
          <t>Balance de prueba de la muestra igual en ambos sistemas</t>
        </is>
      </c>
      <c r="L38" s="7" t="inlineStr">
        <is>
          <t>Pendiente</t>
        </is>
      </c>
      <c r="M38" s="7" t="inlineStr">
        <is>
          <t>Depende de la fecha de E2</t>
        </is>
      </c>
    </row>
    <row r="39">
      <c r="A39" s="17" t="inlineStr">
        <is>
          <t>C34</t>
        </is>
      </c>
      <c r="B39" s="22" t="inlineStr">
        <is>
          <t>Paralelo con el aplicativo actual</t>
        </is>
      </c>
      <c r="C39" s="7" t="inlineStr">
        <is>
          <t>Entrega E3: integración contable automática de Cartera, Inventario/Comercial, Tesorería y CDT (dependencia del proveedor)</t>
        </is>
      </c>
      <c r="D39" s="7" t="inlineStr">
        <is>
          <t>Fecha por confirmar por IngenIA (ver G07). Mientras no exista, los movimientos de esos módulos se contabilizan manualmente con comprobantes resumen.</t>
        </is>
      </c>
      <c r="E39" s="7" t="inlineStr">
        <is>
          <t>IngenIA 365 (desarrollo)</t>
        </is>
      </c>
      <c r="F39" s="7" t="inlineStr">
        <is>
          <t>IngenIA 365 (desarrollo)</t>
        </is>
      </c>
      <c r="G39" s="8" t="n">
        <v>46328</v>
      </c>
      <c r="H39" s="8" t="n">
        <v>46354</v>
      </c>
      <c r="I39" s="17">
        <f>H39-G39+1</f>
        <v/>
      </c>
      <c r="J39" s="7" t="inlineStr"/>
      <c r="K39" s="7" t="inlineStr">
        <is>
          <t>Fecha comprometida registrada en este plan; decisión sobre el procedimiento manual documentada</t>
        </is>
      </c>
      <c r="L39" s="7" t="inlineStr">
        <is>
          <t>Pendiente</t>
        </is>
      </c>
      <c r="M39" s="7" t="inlineStr"/>
    </row>
    <row r="40">
      <c r="A40" s="17" t="inlineStr">
        <is>
          <t>C35</t>
        </is>
      </c>
      <c r="B40" s="22" t="inlineStr">
        <is>
          <t>Paralelo con el aplicativo actual</t>
        </is>
      </c>
      <c r="C40" s="7" t="inlineStr">
        <is>
          <t>Procedimiento de contabilización manual de Cartera y Comercial</t>
        </is>
      </c>
      <c r="D40" s="7" t="inlineStr">
        <is>
          <t>Definir y probar el comprobante resumen (diario o mensual) para ventas, inventario, cartera y aportes hasta que llegue E3.</t>
        </is>
      </c>
      <c r="E40" s="7" t="inlineStr">
        <is>
          <t>Contadora Rafaela Lastra España</t>
        </is>
      </c>
      <c r="F40" s="7" t="inlineStr">
        <is>
          <t>Jorman Copete (IngenIA 365)</t>
        </is>
      </c>
      <c r="G40" s="8" t="n">
        <v>46335</v>
      </c>
      <c r="H40" s="8" t="n">
        <v>46346</v>
      </c>
      <c r="I40" s="17">
        <f>H40-G40+1</f>
        <v/>
      </c>
      <c r="J40" s="7" t="inlineStr">
        <is>
          <t>C14, C34</t>
        </is>
      </c>
      <c r="K40" s="7" t="inlineStr">
        <is>
          <t>Comprobante resumen definido, probado y documentado</t>
        </is>
      </c>
      <c r="L40" s="7" t="inlineStr">
        <is>
          <t>Pendiente</t>
        </is>
      </c>
      <c r="M40" s="7" t="inlineStr"/>
    </row>
    <row r="41">
      <c r="A41" s="17" t="inlineStr">
        <is>
          <t>C36</t>
        </is>
      </c>
      <c r="B41" s="23" t="inlineStr">
        <is>
          <t>Cierre y salida en vivo</t>
        </is>
      </c>
      <c r="C41" s="7" t="inlineStr">
        <is>
          <t>Balance de prueba del aplicativo actual al 30/11</t>
        </is>
      </c>
      <c r="D41" s="7" t="inlineStr">
        <is>
          <t>Obtener el balance por auxiliar al 30/11 con detalle por tercero en bancos, CxC, CxP, cartera y aportes.</t>
        </is>
      </c>
      <c r="E41" s="7" t="inlineStr">
        <is>
          <t>Contadora Rafaela Lastra España</t>
        </is>
      </c>
      <c r="F41" s="7" t="inlineStr">
        <is>
          <t>Jorman Copete (IngenIA 365)</t>
        </is>
      </c>
      <c r="G41" s="8" t="n">
        <v>46356</v>
      </c>
      <c r="H41" s="8" t="n">
        <v>46358</v>
      </c>
      <c r="I41" s="17">
        <f>H41-G41+1</f>
        <v/>
      </c>
      <c r="J41" s="7" t="inlineStr"/>
      <c r="K41" s="7" t="inlineStr">
        <is>
          <t>Balance impreso/exportado y firmado</t>
        </is>
      </c>
      <c r="L41" s="7" t="inlineStr">
        <is>
          <t>Pendiente</t>
        </is>
      </c>
      <c r="M41" s="7" t="inlineStr"/>
    </row>
    <row r="42">
      <c r="A42" s="17" t="inlineStr">
        <is>
          <t>C37</t>
        </is>
      </c>
      <c r="B42" s="23" t="inlineStr">
        <is>
          <t>Cierre y salida en vivo</t>
        </is>
      </c>
      <c r="C42" s="7" t="inlineStr">
        <is>
          <t>Comprobante de saldos iniciales al 30/11</t>
        </is>
      </c>
      <c r="D42" s="7" t="inlineStr">
        <is>
          <t>Digitar el comprobante de apertura en el nuevo sistema usando el mapa de cuentas; contabilizar con cuatro ojos.</t>
        </is>
      </c>
      <c r="E42" s="7" t="inlineStr">
        <is>
          <t>Contadora Rafaela Lastra España + auxiliar contable (por designar)</t>
        </is>
      </c>
      <c r="F42" s="7" t="inlineStr">
        <is>
          <t>Jorman Copete (IngenIA 365)</t>
        </is>
      </c>
      <c r="G42" s="8" t="n">
        <v>46357</v>
      </c>
      <c r="H42" s="8" t="n">
        <v>46360</v>
      </c>
      <c r="I42" s="17">
        <f>H42-G42+1</f>
        <v/>
      </c>
      <c r="J42" s="7" t="inlineStr">
        <is>
          <t>C36, C07</t>
        </is>
      </c>
      <c r="K42" s="7" t="inlineStr">
        <is>
          <t>Balance de prueba del nuevo sistema = balance del actual al 30/11</t>
        </is>
      </c>
      <c r="L42" s="7" t="inlineStr">
        <is>
          <t>Pendiente</t>
        </is>
      </c>
      <c r="M42" s="7" t="inlineStr">
        <is>
          <t>Si el actual cierra noviembre después del 01/12, se registra un comprobante de ajuste (fecha por confirmar)</t>
        </is>
      </c>
    </row>
    <row r="43">
      <c r="A43" s="19" t="inlineStr">
        <is>
          <t>C38</t>
        </is>
      </c>
      <c r="B43" s="23" t="inlineStr">
        <is>
          <t>Cierre y salida en vivo</t>
        </is>
      </c>
      <c r="C43" s="20" t="inlineStr">
        <is>
          <t>◆ HITO — Saldos al 30/11 cargados y conciliados</t>
        </is>
      </c>
      <c r="D43" s="7" t="inlineStr"/>
      <c r="E43" s="7" t="inlineStr">
        <is>
          <t>Contadora Rafaela Lastra España</t>
        </is>
      </c>
      <c r="F43" s="7" t="inlineStr">
        <is>
          <t>Jorman Copete (IngenIA 365)</t>
        </is>
      </c>
      <c r="G43" s="8" t="n">
        <v>46360</v>
      </c>
      <c r="H43" s="8" t="n">
        <v>46360</v>
      </c>
      <c r="I43" s="17">
        <f>H43-G43+1</f>
        <v/>
      </c>
      <c r="J43" s="7" t="inlineStr">
        <is>
          <t>C37, C39</t>
        </is>
      </c>
      <c r="K43" s="7" t="inlineStr">
        <is>
          <t>Hito verificado y registrado en el acta de seguimiento</t>
        </is>
      </c>
      <c r="L43" s="7" t="inlineStr">
        <is>
          <t>Pendiente</t>
        </is>
      </c>
      <c r="M43" s="7" t="inlineStr"/>
    </row>
    <row r="44">
      <c r="A44" s="17" t="inlineStr">
        <is>
          <t>C39</t>
        </is>
      </c>
      <c r="B44" s="23" t="inlineStr">
        <is>
          <t>Cierre y salida en vivo</t>
        </is>
      </c>
      <c r="C44" s="7" t="inlineStr">
        <is>
          <t>Conciliación de saldos por módulo</t>
        </is>
      </c>
      <c r="D44" s="7" t="inlineStr">
        <is>
          <t>Cruzar cartera, aportes, inventario, acumulados de nómina y bancos con los saldos cargados en cada módulo.</t>
        </is>
      </c>
      <c r="E44" s="7" t="inlineStr">
        <is>
          <t>Contadora Rafaela Lastra España</t>
        </is>
      </c>
      <c r="F44" s="7" t="inlineStr">
        <is>
          <t>Jorman Copete (IngenIA 365)</t>
        </is>
      </c>
      <c r="G44" s="8" t="n">
        <v>46358</v>
      </c>
      <c r="H44" s="8" t="n">
        <v>46360</v>
      </c>
      <c r="I44" s="17">
        <f>H44-G44+1</f>
        <v/>
      </c>
      <c r="J44" s="7" t="inlineStr">
        <is>
          <t>C37</t>
        </is>
      </c>
      <c r="K44" s="7" t="inlineStr">
        <is>
          <t>Conciliación firmada por módulo</t>
        </is>
      </c>
      <c r="L44" s="7" t="inlineStr">
        <is>
          <t>Pendiente</t>
        </is>
      </c>
      <c r="M44" s="7" t="inlineStr"/>
    </row>
    <row r="45">
      <c r="A45" s="17" t="inlineStr">
        <is>
          <t>C40</t>
        </is>
      </c>
      <c r="B45" s="23" t="inlineStr">
        <is>
          <t>Cierre y salida en vivo</t>
        </is>
      </c>
      <c r="C45" s="7" t="inlineStr">
        <is>
          <t>Respaldo del aplicativo actual y plan de reversa</t>
        </is>
      </c>
      <c r="D45" s="7" t="inlineStr">
        <is>
          <t>Copia completa de la base de datos e informes 2026 en PDF; el aplicativo actual se conserva en solo lectura; criterio escrito para volver atrás.</t>
        </is>
      </c>
      <c r="E45" s="7" t="inlineStr">
        <is>
          <t>Gestor del proyecto (por designar) + Jorman Copete (IngenIA 365)</t>
        </is>
      </c>
      <c r="F45" s="7" t="inlineStr">
        <is>
          <t>Jorman Copete (IngenIA 365)</t>
        </is>
      </c>
      <c r="G45" s="8" t="n">
        <v>46353</v>
      </c>
      <c r="H45" s="8" t="n">
        <v>46356</v>
      </c>
      <c r="I45" s="17">
        <f>H45-G45+1</f>
        <v/>
      </c>
      <c r="J45" s="7" t="inlineStr"/>
      <c r="K45" s="7" t="inlineStr">
        <is>
          <t>Copia verificada; criterio de reversa aprobado por gerencia</t>
        </is>
      </c>
      <c r="L45" s="7" t="inlineStr">
        <is>
          <t>Pendiente</t>
        </is>
      </c>
      <c r="M45" s="7" t="inlineStr"/>
    </row>
    <row r="46">
      <c r="A46" s="19" t="inlineStr">
        <is>
          <t>C41</t>
        </is>
      </c>
      <c r="B46" s="23" t="inlineStr">
        <is>
          <t>Cierre y salida en vivo</t>
        </is>
      </c>
      <c r="C46" s="20" t="inlineStr">
        <is>
          <t>◆ HITO — Corte del paralelo</t>
        </is>
      </c>
      <c r="D46" s="7" t="inlineStr"/>
      <c r="E46" s="7" t="inlineStr">
        <is>
          <t>Gestor del proyecto (por designar)</t>
        </is>
      </c>
      <c r="F46" s="7" t="inlineStr">
        <is>
          <t>Jorman Copete (IngenIA 365)</t>
        </is>
      </c>
      <c r="G46" s="8" t="n">
        <v>46354</v>
      </c>
      <c r="H46" s="8" t="n">
        <v>46354</v>
      </c>
      <c r="I46" s="17">
        <f>H46-G46+1</f>
        <v/>
      </c>
      <c r="J46" s="7" t="inlineStr">
        <is>
          <t>C30</t>
        </is>
      </c>
      <c r="K46" s="7" t="inlineStr">
        <is>
          <t>Hito verificado y registrado en el acta de seguimiento</t>
        </is>
      </c>
      <c r="L46" s="7" t="inlineStr">
        <is>
          <t>Pendiente</t>
        </is>
      </c>
      <c r="M46" s="7" t="inlineStr"/>
    </row>
    <row r="47">
      <c r="A47" s="19" t="inlineStr">
        <is>
          <t>C42</t>
        </is>
      </c>
      <c r="B47" s="23" t="inlineStr">
        <is>
          <t>Cierre y salida en vivo</t>
        </is>
      </c>
      <c r="C47" s="20" t="inlineStr">
        <is>
          <t>◆ HITO — Salida en vivo</t>
        </is>
      </c>
      <c r="D47" s="7" t="inlineStr"/>
      <c r="E47" s="7" t="inlineStr">
        <is>
          <t>Gestor del proyecto (por designar)</t>
        </is>
      </c>
      <c r="F47" s="7" t="inlineStr">
        <is>
          <t>Jorman Copete (IngenIA 365)</t>
        </is>
      </c>
      <c r="G47" s="8" t="n">
        <v>46357</v>
      </c>
      <c r="H47" s="8" t="n">
        <v>46357</v>
      </c>
      <c r="I47" s="17">
        <f>H47-G47+1</f>
        <v/>
      </c>
      <c r="J47" s="7" t="inlineStr"/>
      <c r="K47" s="7" t="inlineStr">
        <is>
          <t>Hito verificado y registrado en el acta de seguimiento</t>
        </is>
      </c>
      <c r="L47" s="7" t="inlineStr">
        <is>
          <t>Pendiente</t>
        </is>
      </c>
      <c r="M47" s="7" t="inlineStr"/>
    </row>
    <row r="48">
      <c r="A48" s="17" t="inlineStr">
        <is>
          <t>C43</t>
        </is>
      </c>
      <c r="B48" s="23" t="inlineStr">
        <is>
          <t>Cierre y salida en vivo</t>
        </is>
      </c>
      <c r="C48" s="7" t="inlineStr">
        <is>
          <t>Acompañamiento de la primera semana en vivo</t>
        </is>
      </c>
      <c r="D48" s="7" t="inlineStr"/>
      <c r="E48" s="7" t="inlineStr">
        <is>
          <t>Contadora Rafaela Lastra España + auxiliar contable (por designar)</t>
        </is>
      </c>
      <c r="F48" s="7" t="inlineStr">
        <is>
          <t>Jorman Copete (IngenIA 365)</t>
        </is>
      </c>
      <c r="G48" s="8" t="n">
        <v>46357</v>
      </c>
      <c r="H48" s="8" t="n">
        <v>46360</v>
      </c>
      <c r="I48" s="17">
        <f>H48-G48+1</f>
        <v/>
      </c>
      <c r="J48" s="7" t="inlineStr"/>
      <c r="K48" s="7" t="inlineStr">
        <is>
          <t>Comprobantes de diciembre sólo en el nuevo; incidencias resueltas o escaladas</t>
        </is>
      </c>
      <c r="L48" s="7" t="inlineStr">
        <is>
          <t>Pendiente</t>
        </is>
      </c>
      <c r="M48" s="7" t="inlineStr"/>
    </row>
  </sheetData>
  <autoFilter ref="A5:M48"/>
  <conditionalFormatting sqref="L6:L48">
    <cfRule type="cellIs" priority="1" operator="equal" dxfId="0">
      <formula>"Terminada"</formula>
    </cfRule>
    <cfRule type="cellIs" priority="2" operator="equal" dxfId="1">
      <formula>"En curso"</formula>
    </cfRule>
    <cfRule type="cellIs" priority="3" operator="equal" dxfId="2">
      <formula>"Bloqueada"</formula>
    </cfRule>
    <cfRule type="cellIs" priority="4" operator="equal" dxfId="3">
      <formula>"Por confirmar"</formula>
    </cfRule>
  </conditionalFormatting>
  <dataValidations count="1">
    <dataValidation sqref="L6:L48" showDropDown="0" showInputMessage="0" showErrorMessage="0" allowBlank="1" errorTitle="Estado" error="Elija un estado de la lista" type="list">
      <formula1>"Pendiente,En curso,Terminada,Bloqueada,Por confirmar"</formula1>
    </dataValidation>
  </dataValidations>
  <pageMargins left="0.75" right="0.75" top="1" bottom="1" header="0.5" footer="0.5"/>
  <pageSetup orientation="landscape" paperSize="5"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M4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4" customWidth="1" min="3" max="3"/>
    <col width="58" customWidth="1" min="4" max="4"/>
    <col width="34" customWidth="1" min="5" max="5"/>
    <col width="24" customWidth="1" min="6" max="6"/>
    <col width="12" customWidth="1" min="7" max="7"/>
    <col width="12" customWidth="1" min="8" max="8"/>
    <col width="10" customWidth="1" min="9" max="9"/>
    <col width="16" customWidth="1" min="10" max="10"/>
    <col width="48" customWidth="1" min="11" max="11"/>
    <col width="14" customWidth="1" min="12" max="12"/>
    <col width="42" customWidth="1" min="13" max="13"/>
  </cols>
  <sheetData>
    <row r="1">
      <c r="A1" s="1" t="inlineStr">
        <is>
          <t>Comercial — Plan de implementación IngenIA365ERP · COOFLOPAL</t>
        </is>
      </c>
    </row>
    <row r="2">
      <c r="A2" s="16" t="inlineStr">
        <is>
          <t>Del 26/09/2026 al 28/11/2026 · parametrización y configuración hasta el 31/10/2026 · paralelo con el aplicativo actual hasta el 28/11/2026 · salida en vivo 01/12/2026. Duración en días calendario, inclusive. Fechas estimadas: base para la salida en vivo.</t>
        </is>
      </c>
    </row>
    <row r="3" ht="30" customHeight="1">
      <c r="B3" s="9" t="inlineStr">
        <is>
          <t>Leyenda de fases:</t>
        </is>
      </c>
      <c r="C3" s="10" t="inlineStr">
        <is>
          <t>Preparación y parametrización</t>
        </is>
      </c>
      <c r="D3" s="11" t="inlineStr">
        <is>
          <t>Capacitación</t>
        </is>
      </c>
      <c r="E3" s="12" t="inlineStr">
        <is>
          <t>Paralelo con el aplicativo actual</t>
        </is>
      </c>
      <c r="F3" s="13" t="inlineStr">
        <is>
          <t>Cierre y salida en vivo</t>
        </is>
      </c>
      <c r="G3" s="14" t="inlineStr">
        <is>
          <t>Gestión del proyecto</t>
        </is>
      </c>
      <c r="H3" s="15" t="inlineStr">
        <is>
          <t>◆ Hito</t>
        </is>
      </c>
    </row>
    <row r="5" ht="32" customHeight="1">
      <c r="A5" s="6" t="inlineStr">
        <is>
          <t>Nº</t>
        </is>
      </c>
      <c r="B5" s="6" t="inlineStr">
        <is>
          <t>Fase</t>
        </is>
      </c>
      <c r="C5" s="6" t="inlineStr">
        <is>
          <t>Tarea</t>
        </is>
      </c>
      <c r="D5" s="6" t="inlineStr">
        <is>
          <t>Descripción</t>
        </is>
      </c>
      <c r="E5" s="6" t="inlineStr">
        <is>
          <t>Responsable (cooperativa)</t>
        </is>
      </c>
      <c r="F5" s="6" t="inlineStr">
        <is>
          <t>Apoyo IngenIA</t>
        </is>
      </c>
      <c r="G5" s="6" t="inlineStr">
        <is>
          <t>Fecha inicio</t>
        </is>
      </c>
      <c r="H5" s="6" t="inlineStr">
        <is>
          <t>Fecha fin</t>
        </is>
      </c>
      <c r="I5" s="6" t="inlineStr">
        <is>
          <t>Duración (días)</t>
        </is>
      </c>
      <c r="J5" s="6" t="inlineStr">
        <is>
          <t>Dependencia</t>
        </is>
      </c>
      <c r="K5" s="6" t="inlineStr">
        <is>
          <t>Entregable / criterio de listo</t>
        </is>
      </c>
      <c r="L5" s="6" t="inlineStr">
        <is>
          <t>Estado</t>
        </is>
      </c>
      <c r="M5" s="6" t="inlineStr">
        <is>
          <t>Observaciones</t>
        </is>
      </c>
    </row>
    <row r="6">
      <c r="A6" s="17" t="inlineStr">
        <is>
          <t>M01</t>
        </is>
      </c>
      <c r="B6" s="18" t="inlineStr">
        <is>
          <t>Preparación y parametrización</t>
        </is>
      </c>
      <c r="C6" s="7" t="inlineStr">
        <is>
          <t>Acceso y roles del equipo comercial</t>
        </is>
      </c>
      <c r="D6" s="7" t="inlineStr"/>
      <c r="E6" s="7" t="inlineStr">
        <is>
          <t>Equipo Comercial (2 personas, por designar)</t>
        </is>
      </c>
      <c r="F6" s="7" t="inlineStr">
        <is>
          <t>Jorman Copete (IngenIA 365)</t>
        </is>
      </c>
      <c r="G6" s="8" t="n">
        <v>46291</v>
      </c>
      <c r="H6" s="8" t="n">
        <v>46291</v>
      </c>
      <c r="I6" s="17">
        <f>H6-G6+1</f>
        <v/>
      </c>
      <c r="J6" s="7" t="inlineStr"/>
      <c r="K6" s="7" t="inlineStr">
        <is>
          <t>Las 2 personas ingresan con MFA; roles asignados</t>
        </is>
      </c>
      <c r="L6" s="7" t="inlineStr">
        <is>
          <t>Pendiente</t>
        </is>
      </c>
      <c r="M6" s="7" t="inlineStr"/>
    </row>
    <row r="7">
      <c r="A7" s="17" t="inlineStr">
        <is>
          <t>M02</t>
        </is>
      </c>
      <c r="B7" s="18" t="inlineStr">
        <is>
          <t>Preparación y parametrización</t>
        </is>
      </c>
      <c r="C7" s="7" t="inlineStr">
        <is>
          <t>Levantamiento de la operación comercial</t>
        </is>
      </c>
      <c r="D7" s="7" t="inlineStr">
        <is>
          <t>Documentar puntos de venta, bodegas, turnos, vendedores, listas de precios, tipos de movimiento y volumen de productos del aplicativo actual.</t>
        </is>
      </c>
      <c r="E7" s="7" t="inlineStr">
        <is>
          <t>Equipo Comercial (2 personas, por designar) + Gestor del proyecto (por designar)</t>
        </is>
      </c>
      <c r="F7" s="7" t="inlineStr">
        <is>
          <t>Jorman Copete (IngenIA 365)</t>
        </is>
      </c>
      <c r="G7" s="8" t="n">
        <v>46293</v>
      </c>
      <c r="H7" s="8" t="n">
        <v>46297</v>
      </c>
      <c r="I7" s="17">
        <f>H7-G7+1</f>
        <v/>
      </c>
      <c r="J7" s="7" t="inlineStr">
        <is>
          <t>M01</t>
        </is>
      </c>
      <c r="K7" s="7" t="inlineStr">
        <is>
          <t>Documento de levantamiento aprobado por el gestor</t>
        </is>
      </c>
      <c r="L7" s="7" t="inlineStr">
        <is>
          <t>Pendiente</t>
        </is>
      </c>
      <c r="M7" s="7" t="inlineStr"/>
    </row>
    <row r="8">
      <c r="A8" s="17" t="inlineStr">
        <is>
          <t>M03</t>
        </is>
      </c>
      <c r="B8" s="18" t="inlineStr">
        <is>
          <t>Preparación y parametrización</t>
        </is>
      </c>
      <c r="C8" s="7" t="inlineStr">
        <is>
          <t>Grupos primarios y grupos de productos</t>
        </is>
      </c>
      <c r="D8" s="7" t="inlineStr"/>
      <c r="E8" s="7" t="inlineStr">
        <is>
          <t>Equipo Comercial (2 personas, por designar)</t>
        </is>
      </c>
      <c r="F8" s="7" t="inlineStr">
        <is>
          <t>Jorman Copete (IngenIA 365)</t>
        </is>
      </c>
      <c r="G8" s="8" t="n">
        <v>46300</v>
      </c>
      <c r="H8" s="8" t="n">
        <v>46302</v>
      </c>
      <c r="I8" s="17">
        <f>H8-G8+1</f>
        <v/>
      </c>
      <c r="J8" s="7" t="inlineStr">
        <is>
          <t>M02</t>
        </is>
      </c>
      <c r="K8" s="7" t="inlineStr">
        <is>
          <t>Estructura de grupos igual o mejorada frente a la actual</t>
        </is>
      </c>
      <c r="L8" s="7" t="inlineStr">
        <is>
          <t>Pendiente</t>
        </is>
      </c>
      <c r="M8" s="7" t="inlineStr"/>
    </row>
    <row r="9">
      <c r="A9" s="17" t="inlineStr">
        <is>
          <t>M04</t>
        </is>
      </c>
      <c r="B9" s="18" t="inlineStr">
        <is>
          <t>Preparación y parametrización</t>
        </is>
      </c>
      <c r="C9" s="7" t="inlineStr">
        <is>
          <t>Bodegas y ubicaciones</t>
        </is>
      </c>
      <c r="D9" s="7" t="inlineStr"/>
      <c r="E9" s="7" t="inlineStr">
        <is>
          <t>Equipo Comercial (2 personas, por designar)</t>
        </is>
      </c>
      <c r="F9" s="7" t="inlineStr">
        <is>
          <t>Jorman Copete (IngenIA 365)</t>
        </is>
      </c>
      <c r="G9" s="8" t="n">
        <v>46300</v>
      </c>
      <c r="H9" s="8" t="n">
        <v>46302</v>
      </c>
      <c r="I9" s="17">
        <f>H9-G9+1</f>
        <v/>
      </c>
      <c r="J9" s="7" t="inlineStr">
        <is>
          <t>M02</t>
        </is>
      </c>
      <c r="K9" s="7" t="inlineStr">
        <is>
          <t>Todas las bodegas físicas creadas con sus ubicaciones</t>
        </is>
      </c>
      <c r="L9" s="7" t="inlineStr">
        <is>
          <t>Pendiente</t>
        </is>
      </c>
      <c r="M9" s="7" t="inlineStr"/>
    </row>
    <row r="10">
      <c r="A10" s="17" t="inlineStr">
        <is>
          <t>M05</t>
        </is>
      </c>
      <c r="B10" s="18" t="inlineStr">
        <is>
          <t>Preparación y parametrización</t>
        </is>
      </c>
      <c r="C10" s="7" t="inlineStr">
        <is>
          <t>Puntos de venta y turnos</t>
        </is>
      </c>
      <c r="D10" s="7" t="inlineStr"/>
      <c r="E10" s="7" t="inlineStr">
        <is>
          <t>Equipo Comercial (2 personas, por designar)</t>
        </is>
      </c>
      <c r="F10" s="7" t="inlineStr">
        <is>
          <t>Jorman Copete (IngenIA 365)</t>
        </is>
      </c>
      <c r="G10" s="8" t="n">
        <v>46301</v>
      </c>
      <c r="H10" s="8" t="n">
        <v>46304</v>
      </c>
      <c r="I10" s="17">
        <f>H10-G10+1</f>
        <v/>
      </c>
      <c r="J10" s="7" t="inlineStr">
        <is>
          <t>M02</t>
        </is>
      </c>
      <c r="K10" s="7" t="inlineStr">
        <is>
          <t>Puntos de venta y esquema de turnos parametrizados</t>
        </is>
      </c>
      <c r="L10" s="7" t="inlineStr">
        <is>
          <t>Pendiente</t>
        </is>
      </c>
      <c r="M10" s="7" t="inlineStr"/>
    </row>
    <row r="11">
      <c r="A11" s="17" t="inlineStr">
        <is>
          <t>M06</t>
        </is>
      </c>
      <c r="B11" s="18" t="inlineStr">
        <is>
          <t>Preparación y parametrización</t>
        </is>
      </c>
      <c r="C11" s="7" t="inlineStr">
        <is>
          <t>Vendedores y comisiones</t>
        </is>
      </c>
      <c r="D11" s="7" t="inlineStr"/>
      <c r="E11" s="7" t="inlineStr">
        <is>
          <t>Equipo Comercial (2 personas, por designar)</t>
        </is>
      </c>
      <c r="F11" s="7" t="inlineStr">
        <is>
          <t>Jorman Copete (IngenIA 365)</t>
        </is>
      </c>
      <c r="G11" s="8" t="n">
        <v>46303</v>
      </c>
      <c r="H11" s="8" t="n">
        <v>46309</v>
      </c>
      <c r="I11" s="17">
        <f>H11-G11+1</f>
        <v/>
      </c>
      <c r="J11" s="7" t="inlineStr">
        <is>
          <t>M02</t>
        </is>
      </c>
      <c r="K11" s="7" t="inlineStr">
        <is>
          <t>Vendedores vinculados a personas; esquema de comisiones parametrizado</t>
        </is>
      </c>
      <c r="L11" s="7" t="inlineStr">
        <is>
          <t>Pendiente</t>
        </is>
      </c>
      <c r="M11" s="7" t="inlineStr">
        <is>
          <t>El 12/10 es festivo</t>
        </is>
      </c>
    </row>
    <row r="12">
      <c r="A12" s="17" t="inlineStr">
        <is>
          <t>M07</t>
        </is>
      </c>
      <c r="B12" s="18" t="inlineStr">
        <is>
          <t>Preparación y parametrización</t>
        </is>
      </c>
      <c r="C12" s="7" t="inlineStr">
        <is>
          <t>Tipos de descuento y listas de precios</t>
        </is>
      </c>
      <c r="D12" s="7" t="inlineStr"/>
      <c r="E12" s="7" t="inlineStr">
        <is>
          <t>Equipo Comercial (2 personas, por designar)</t>
        </is>
      </c>
      <c r="F12" s="7" t="inlineStr">
        <is>
          <t>Jorman Copete (IngenIA 365)</t>
        </is>
      </c>
      <c r="G12" s="8" t="n">
        <v>46308</v>
      </c>
      <c r="H12" s="8" t="n">
        <v>46312</v>
      </c>
      <c r="I12" s="17">
        <f>H12-G12+1</f>
        <v/>
      </c>
      <c r="J12" s="7" t="inlineStr">
        <is>
          <t>M02</t>
        </is>
      </c>
      <c r="K12" s="7" t="inlineStr">
        <is>
          <t>Listas de precios vigentes creadas; descuentos autorizados definidos</t>
        </is>
      </c>
      <c r="L12" s="7" t="inlineStr">
        <is>
          <t>Pendiente</t>
        </is>
      </c>
      <c r="M12" s="7" t="inlineStr"/>
    </row>
    <row r="13">
      <c r="A13" s="17" t="inlineStr">
        <is>
          <t>M08</t>
        </is>
      </c>
      <c r="B13" s="18" t="inlineStr">
        <is>
          <t>Preparación y parametrización</t>
        </is>
      </c>
      <c r="C13" s="7" t="inlineStr">
        <is>
          <t>Tipos de movimiento</t>
        </is>
      </c>
      <c r="D13" s="7" t="inlineStr">
        <is>
          <t>Entradas por compra, salidas por venta, traslados, ajustes, devoluciones y mermas.</t>
        </is>
      </c>
      <c r="E13" s="7" t="inlineStr">
        <is>
          <t>Equipo Comercial (2 personas, por designar)</t>
        </is>
      </c>
      <c r="F13" s="7" t="inlineStr">
        <is>
          <t>Jorman Copete (IngenIA 365)</t>
        </is>
      </c>
      <c r="G13" s="8" t="n">
        <v>46308</v>
      </c>
      <c r="H13" s="8" t="n">
        <v>46310</v>
      </c>
      <c r="I13" s="17">
        <f>H13-G13+1</f>
        <v/>
      </c>
      <c r="J13" s="7" t="inlineStr">
        <is>
          <t>M02</t>
        </is>
      </c>
      <c r="K13" s="7" t="inlineStr">
        <is>
          <t>Un tipo por cada movimiento que hoy se registra</t>
        </is>
      </c>
      <c r="L13" s="7" t="inlineStr">
        <is>
          <t>Pendiente</t>
        </is>
      </c>
      <c r="M13" s="7" t="inlineStr"/>
    </row>
    <row r="14">
      <c r="A14" s="17" t="inlineStr">
        <is>
          <t>M09</t>
        </is>
      </c>
      <c r="B14" s="18" t="inlineStr">
        <is>
          <t>Preparación y parametrización</t>
        </is>
      </c>
      <c r="C14" s="7" t="inlineStr">
        <is>
          <t>Catálogo de productos</t>
        </is>
      </c>
      <c r="D14" s="7" t="inlineStr">
        <is>
          <t>Crear los productos activos: código, grupo, unidad, IVA, costo, precios por lista y bodega.</t>
        </is>
      </c>
      <c r="E14" s="7" t="inlineStr">
        <is>
          <t>Equipo Comercial (2 personas, por designar)</t>
        </is>
      </c>
      <c r="F14" s="7" t="inlineStr">
        <is>
          <t>Jorman Copete (IngenIA 365)</t>
        </is>
      </c>
      <c r="G14" s="8" t="n">
        <v>46308</v>
      </c>
      <c r="H14" s="8" t="n">
        <v>46318</v>
      </c>
      <c r="I14" s="17">
        <f>H14-G14+1</f>
        <v/>
      </c>
      <c r="J14" s="7" t="inlineStr">
        <is>
          <t>M03, M07</t>
        </is>
      </c>
      <c r="K14" s="7" t="inlineStr">
        <is>
          <t>100 % de los productos activos creados; conteo igual al actual</t>
        </is>
      </c>
      <c r="L14" s="7" t="inlineStr">
        <is>
          <t>Pendiente</t>
        </is>
      </c>
      <c r="M14" s="7" t="inlineStr">
        <is>
          <t>Volumen por confirmar; si supera ~300 referencias, evaluar importación con IngenIA</t>
        </is>
      </c>
    </row>
    <row r="15">
      <c r="A15" s="17" t="inlineStr">
        <is>
          <t>M10</t>
        </is>
      </c>
      <c r="B15" s="18" t="inlineStr">
        <is>
          <t>Preparación y parametrización</t>
        </is>
      </c>
      <c r="C15" s="7" t="inlineStr">
        <is>
          <t>Tesorería: conceptos, bancos y cheques</t>
        </is>
      </c>
      <c r="D15" s="7" t="inlineStr"/>
      <c r="E15" s="7" t="inlineStr">
        <is>
          <t>Equipo Comercial (2 personas, por designar)</t>
        </is>
      </c>
      <c r="F15" s="7" t="inlineStr">
        <is>
          <t>Jorman Copete (IngenIA 365)</t>
        </is>
      </c>
      <c r="G15" s="8" t="n">
        <v>46314</v>
      </c>
      <c r="H15" s="8" t="n">
        <v>46318</v>
      </c>
      <c r="I15" s="17">
        <f>H15-G15+1</f>
        <v/>
      </c>
      <c r="J15" s="7" t="inlineStr">
        <is>
          <t>M01</t>
        </is>
      </c>
      <c r="K15" s="7" t="inlineStr">
        <is>
          <t>Conceptos de tesorería, bancos y chequeras configurados</t>
        </is>
      </c>
      <c r="L15" s="7" t="inlineStr">
        <is>
          <t>Pendiente</t>
        </is>
      </c>
      <c r="M15" s="7" t="inlineStr"/>
    </row>
    <row r="16">
      <c r="A16" s="17" t="inlineStr">
        <is>
          <t>M11</t>
        </is>
      </c>
      <c r="B16" s="18" t="inlineStr">
        <is>
          <t>Preparación y parametrización</t>
        </is>
      </c>
      <c r="C16" s="7" t="inlineStr">
        <is>
          <t>Terceros: clientes y proveedores (con Contabilidad)</t>
        </is>
      </c>
      <c r="D16" s="7" t="inlineStr"/>
      <c r="E16" s="7" t="inlineStr">
        <is>
          <t>Equipo Comercial (2 personas, por designar)</t>
        </is>
      </c>
      <c r="F16" s="7" t="inlineStr">
        <is>
          <t>Jorman Copete (IngenIA 365)</t>
        </is>
      </c>
      <c r="G16" s="8" t="n">
        <v>46314</v>
      </c>
      <c r="H16" s="8" t="n">
        <v>46318</v>
      </c>
      <c r="I16" s="17">
        <f>H16-G16+1</f>
        <v/>
      </c>
      <c r="J16" s="7" t="inlineStr">
        <is>
          <t>C11 (Contabilidad)</t>
        </is>
      </c>
      <c r="K16" s="7" t="inlineStr">
        <is>
          <t>Clientes a crédito y proveedores frecuentes creados como personas</t>
        </is>
      </c>
      <c r="L16" s="7" t="inlineStr">
        <is>
          <t>Pendiente</t>
        </is>
      </c>
      <c r="M16" s="7" t="inlineStr"/>
    </row>
    <row r="17">
      <c r="A17" s="17" t="inlineStr">
        <is>
          <t>M12</t>
        </is>
      </c>
      <c r="B17" s="18" t="inlineStr">
        <is>
          <t>Preparación y parametrización</t>
        </is>
      </c>
      <c r="C17" s="7" t="inlineStr">
        <is>
          <t>Inventario inicial de prueba al 31/10</t>
        </is>
      </c>
      <c r="D17" s="7" t="inlineStr">
        <is>
          <t>Cargar las existencias por bodega al 31/10 (conteo o saldo del actual) para las referencias de la muestra, como base del paralelo.</t>
        </is>
      </c>
      <c r="E17" s="7" t="inlineStr">
        <is>
          <t>Equipo Comercial (2 personas, por designar)</t>
        </is>
      </c>
      <c r="F17" s="7" t="inlineStr">
        <is>
          <t>Jorman Copete (IngenIA 365)</t>
        </is>
      </c>
      <c r="G17" s="8" t="n">
        <v>46324</v>
      </c>
      <c r="H17" s="8" t="n">
        <v>46326</v>
      </c>
      <c r="I17" s="17">
        <f>H17-G17+1</f>
        <v/>
      </c>
      <c r="J17" s="7" t="inlineStr">
        <is>
          <t>M09</t>
        </is>
      </c>
      <c r="K17" s="7" t="inlineStr">
        <is>
          <t>Inventario valorizado de la muestra comparable con el actual</t>
        </is>
      </c>
      <c r="L17" s="7" t="inlineStr">
        <is>
          <t>Pendiente</t>
        </is>
      </c>
      <c r="M17" s="7" t="inlineStr"/>
    </row>
    <row r="18">
      <c r="A18" s="17" t="inlineStr">
        <is>
          <t>M13</t>
        </is>
      </c>
      <c r="B18" s="18" t="inlineStr">
        <is>
          <t>Preparación y parametrización</t>
        </is>
      </c>
      <c r="C18" s="7" t="inlineStr">
        <is>
          <t>Verificación cruzada de la parametrización</t>
        </is>
      </c>
      <c r="D18" s="7" t="inlineStr"/>
      <c r="E18" s="7" t="inlineStr">
        <is>
          <t>Equipo Comercial (2 personas, por designar) + Gestor del proyecto (por designar)</t>
        </is>
      </c>
      <c r="F18" s="7" t="inlineStr">
        <is>
          <t>Jorman Copete (IngenIA 365)</t>
        </is>
      </c>
      <c r="G18" s="8" t="n">
        <v>46322</v>
      </c>
      <c r="H18" s="8" t="n">
        <v>46325</v>
      </c>
      <c r="I18" s="17">
        <f>H18-G18+1</f>
        <v/>
      </c>
      <c r="J18" s="7" t="inlineStr">
        <is>
          <t>M03 a M11</t>
        </is>
      </c>
      <c r="K18" s="7" t="inlineStr">
        <is>
          <t>Lista de chequeo firmada</t>
        </is>
      </c>
      <c r="L18" s="7" t="inlineStr">
        <is>
          <t>Pendiente</t>
        </is>
      </c>
      <c r="M18" s="7" t="inlineStr"/>
    </row>
    <row r="19">
      <c r="A19" s="19" t="inlineStr">
        <is>
          <t>M14</t>
        </is>
      </c>
      <c r="B19" s="18" t="inlineStr">
        <is>
          <t>Preparación y parametrización</t>
        </is>
      </c>
      <c r="C19" s="20" t="inlineStr">
        <is>
          <t>◆ HITO — Fin de parametrización de Comercial</t>
        </is>
      </c>
      <c r="D19" s="7" t="inlineStr"/>
      <c r="E19" s="7" t="inlineStr">
        <is>
          <t>Gestor del proyecto (por designar)</t>
        </is>
      </c>
      <c r="F19" s="7" t="inlineStr">
        <is>
          <t>Jorman Copete (IngenIA 365)</t>
        </is>
      </c>
      <c r="G19" s="8" t="n">
        <v>46326</v>
      </c>
      <c r="H19" s="8" t="n">
        <v>46326</v>
      </c>
      <c r="I19" s="17">
        <f>H19-G19+1</f>
        <v/>
      </c>
      <c r="J19" s="7" t="inlineStr">
        <is>
          <t>M12, M13</t>
        </is>
      </c>
      <c r="K19" s="7" t="inlineStr">
        <is>
          <t>Hito verificado y registrado en el acta de seguimiento</t>
        </is>
      </c>
      <c r="L19" s="7" t="inlineStr">
        <is>
          <t>Pendiente</t>
        </is>
      </c>
      <c r="M19" s="7" t="inlineStr"/>
    </row>
    <row r="20">
      <c r="A20" s="17" t="inlineStr">
        <is>
          <t>M15</t>
        </is>
      </c>
      <c r="B20" s="21" t="inlineStr">
        <is>
          <t>Capacitación</t>
        </is>
      </c>
      <c r="C20" s="7" t="inlineStr">
        <is>
          <t>Sesión 1 (sáb 26/09): introducción al módulo Inventario/Comercial y Tesorería; plan del módulo</t>
        </is>
      </c>
      <c r="D20" s="7" t="inlineStr">
        <is>
          <t>Sesión de capacitación por proceso, con ejercicios sobre los datos reales de la cooperativa.</t>
        </is>
      </c>
      <c r="E20" s="7" t="inlineStr">
        <is>
          <t>Equipo Comercial (2 personas, por designar)</t>
        </is>
      </c>
      <c r="F20" s="7" t="inlineStr">
        <is>
          <t>Jorman Copete (IngenIA 365)</t>
        </is>
      </c>
      <c r="G20" s="8" t="n">
        <v>46291</v>
      </c>
      <c r="H20" s="8" t="n">
        <v>46291</v>
      </c>
      <c r="I20" s="17">
        <f>H20-G20+1</f>
        <v/>
      </c>
      <c r="J20" s="7" t="inlineStr"/>
      <c r="K20" s="7" t="inlineStr">
        <is>
          <t>Asistencia de las 2 personas del módulo; ejercicio guiado completado en el sistema</t>
        </is>
      </c>
      <c r="L20" s="7" t="inlineStr">
        <is>
          <t>Pendiente</t>
        </is>
      </c>
      <c r="M20" s="7" t="inlineStr">
        <is>
          <t>Horario y modalidad: acordado entre las partes</t>
        </is>
      </c>
    </row>
    <row r="21">
      <c r="A21" s="17" t="inlineStr">
        <is>
          <t>M16</t>
        </is>
      </c>
      <c r="B21" s="21" t="inlineStr">
        <is>
          <t>Capacitación</t>
        </is>
      </c>
      <c r="C21" s="7" t="inlineStr">
        <is>
          <t>Sesión 2 (sáb 03/10): grupos, bodegas, ubicaciones, puntos de venta y turnos</t>
        </is>
      </c>
      <c r="D21" s="7" t="inlineStr">
        <is>
          <t>Sesión de capacitación por proceso, con ejercicios sobre los datos reales de la cooperativa.</t>
        </is>
      </c>
      <c r="E21" s="7" t="inlineStr">
        <is>
          <t>Equipo Comercial (2 personas, por designar)</t>
        </is>
      </c>
      <c r="F21" s="7" t="inlineStr">
        <is>
          <t>Jorman Copete (IngenIA 365)</t>
        </is>
      </c>
      <c r="G21" s="8" t="n">
        <v>46298</v>
      </c>
      <c r="H21" s="8" t="n">
        <v>46298</v>
      </c>
      <c r="I21" s="17">
        <f>H21-G21+1</f>
        <v/>
      </c>
      <c r="J21" s="7" t="inlineStr"/>
      <c r="K21" s="7" t="inlineStr">
        <is>
          <t>Asistencia de las 2 personas del módulo; ejercicio guiado completado en el sistema</t>
        </is>
      </c>
      <c r="L21" s="7" t="inlineStr">
        <is>
          <t>Pendiente</t>
        </is>
      </c>
      <c r="M21" s="7" t="inlineStr">
        <is>
          <t>Horario y modalidad: acordado entre las partes</t>
        </is>
      </c>
    </row>
    <row r="22">
      <c r="A22" s="17" t="inlineStr">
        <is>
          <t>M17</t>
        </is>
      </c>
      <c r="B22" s="21" t="inlineStr">
        <is>
          <t>Capacitación</t>
        </is>
      </c>
      <c r="C22" s="7" t="inlineStr">
        <is>
          <t>Sesión 3 (sáb 10/10): productos, listas de precios, descuentos, vendedores y comisiones</t>
        </is>
      </c>
      <c r="D22" s="7" t="inlineStr">
        <is>
          <t>Sesión de capacitación por proceso, con ejercicios sobre los datos reales de la cooperativa.</t>
        </is>
      </c>
      <c r="E22" s="7" t="inlineStr">
        <is>
          <t>Equipo Comercial (2 personas, por designar)</t>
        </is>
      </c>
      <c r="F22" s="7" t="inlineStr">
        <is>
          <t>Jorman Copete (IngenIA 365)</t>
        </is>
      </c>
      <c r="G22" s="8" t="n">
        <v>46305</v>
      </c>
      <c r="H22" s="8" t="n">
        <v>46305</v>
      </c>
      <c r="I22" s="17">
        <f>H22-G22+1</f>
        <v/>
      </c>
      <c r="J22" s="7" t="inlineStr"/>
      <c r="K22" s="7" t="inlineStr">
        <is>
          <t>Asistencia de las 2 personas del módulo; ejercicio guiado completado en el sistema</t>
        </is>
      </c>
      <c r="L22" s="7" t="inlineStr">
        <is>
          <t>Pendiente</t>
        </is>
      </c>
      <c r="M22" s="7" t="inlineStr">
        <is>
          <t>Horario y modalidad: acordado entre las partes</t>
        </is>
      </c>
    </row>
    <row r="23">
      <c r="A23" s="17" t="inlineStr">
        <is>
          <t>M18</t>
        </is>
      </c>
      <c r="B23" s="21" t="inlineStr">
        <is>
          <t>Capacitación</t>
        </is>
      </c>
      <c r="C23" s="7" t="inlineStr">
        <is>
          <t>Sesión 4 (sáb 17/10): tipos de movimiento, movimientos, kardex e inventario valorizado</t>
        </is>
      </c>
      <c r="D23" s="7" t="inlineStr">
        <is>
          <t>Sesión de capacitación por proceso, con ejercicios sobre los datos reales de la cooperativa.</t>
        </is>
      </c>
      <c r="E23" s="7" t="inlineStr">
        <is>
          <t>Equipo Comercial (2 personas, por designar)</t>
        </is>
      </c>
      <c r="F23" s="7" t="inlineStr">
        <is>
          <t>Jorman Copete (IngenIA 365)</t>
        </is>
      </c>
      <c r="G23" s="8" t="n">
        <v>46312</v>
      </c>
      <c r="H23" s="8" t="n">
        <v>46312</v>
      </c>
      <c r="I23" s="17">
        <f>H23-G23+1</f>
        <v/>
      </c>
      <c r="J23" s="7" t="inlineStr"/>
      <c r="K23" s="7" t="inlineStr">
        <is>
          <t>Asistencia de las 2 personas del módulo; ejercicio guiado completado en el sistema</t>
        </is>
      </c>
      <c r="L23" s="7" t="inlineStr">
        <is>
          <t>Pendiente</t>
        </is>
      </c>
      <c r="M23" s="7" t="inlineStr">
        <is>
          <t>Horario y modalidad: acordado entre las partes</t>
        </is>
      </c>
    </row>
    <row r="24">
      <c r="A24" s="17" t="inlineStr">
        <is>
          <t>M19</t>
        </is>
      </c>
      <c r="B24" s="21" t="inlineStr">
        <is>
          <t>Capacitación</t>
        </is>
      </c>
      <c r="C24" s="7" t="inlineStr">
        <is>
          <t>Sesión 5 (sáb 24/10): facturación y tesorería (cheques, facturas CxP/CxC, flujo de caja)</t>
        </is>
      </c>
      <c r="D24" s="7" t="inlineStr">
        <is>
          <t>Sesión de capacitación por proceso, con ejercicios sobre los datos reales de la cooperativa.</t>
        </is>
      </c>
      <c r="E24" s="7" t="inlineStr">
        <is>
          <t>Equipo Comercial (2 personas, por designar)</t>
        </is>
      </c>
      <c r="F24" s="7" t="inlineStr">
        <is>
          <t>Jorman Copete (IngenIA 365)</t>
        </is>
      </c>
      <c r="G24" s="8" t="n">
        <v>46319</v>
      </c>
      <c r="H24" s="8" t="n">
        <v>46319</v>
      </c>
      <c r="I24" s="17">
        <f>H24-G24+1</f>
        <v/>
      </c>
      <c r="J24" s="7" t="inlineStr"/>
      <c r="K24" s="7" t="inlineStr">
        <is>
          <t>Asistencia de las 2 personas del módulo; ejercicio guiado completado en el sistema</t>
        </is>
      </c>
      <c r="L24" s="7" t="inlineStr">
        <is>
          <t>Pendiente</t>
        </is>
      </c>
      <c r="M24" s="7" t="inlineStr">
        <is>
          <t>Horario y modalidad: acordado entre las partes</t>
        </is>
      </c>
    </row>
    <row r="25">
      <c r="A25" s="17" t="inlineStr">
        <is>
          <t>M20</t>
        </is>
      </c>
      <c r="B25" s="21" t="inlineStr">
        <is>
          <t>Capacitación</t>
        </is>
      </c>
      <c r="C25" s="7" t="inlineStr">
        <is>
          <t>Sesión 6 (sáb 31/10): cierre de parametrización, muestra del paralelo y bitácora</t>
        </is>
      </c>
      <c r="D25" s="7" t="inlineStr">
        <is>
          <t>Sesión de capacitación por proceso, con ejercicios sobre los datos reales de la cooperativa.</t>
        </is>
      </c>
      <c r="E25" s="7" t="inlineStr">
        <is>
          <t>Equipo Comercial (2 personas, por designar)</t>
        </is>
      </c>
      <c r="F25" s="7" t="inlineStr">
        <is>
          <t>Jorman Copete (IngenIA 365)</t>
        </is>
      </c>
      <c r="G25" s="8" t="n">
        <v>46326</v>
      </c>
      <c r="H25" s="8" t="n">
        <v>46326</v>
      </c>
      <c r="I25" s="17">
        <f>H25-G25+1</f>
        <v/>
      </c>
      <c r="J25" s="7" t="inlineStr"/>
      <c r="K25" s="7" t="inlineStr">
        <is>
          <t>Asistencia de las 2 personas del módulo; ejercicio guiado completado en el sistema</t>
        </is>
      </c>
      <c r="L25" s="7" t="inlineStr">
        <is>
          <t>Pendiente</t>
        </is>
      </c>
      <c r="M25" s="7" t="inlineStr">
        <is>
          <t>Horario y modalidad: acordado entre las partes</t>
        </is>
      </c>
    </row>
    <row r="26">
      <c r="A26" s="17" t="inlineStr">
        <is>
          <t>M21</t>
        </is>
      </c>
      <c r="B26" s="21" t="inlineStr">
        <is>
          <t>Capacitación</t>
        </is>
      </c>
      <c r="C26" s="7" t="inlineStr">
        <is>
          <t>Sesión entre semana (jue 12/11, día por acordar): acompañamiento en punto de venta durante el ciclo 1</t>
        </is>
      </c>
      <c r="D26" s="7" t="inlineStr">
        <is>
          <t>Sesión de capacitación por proceso, con ejercicios sobre los datos reales de la cooperativa.</t>
        </is>
      </c>
      <c r="E26" s="7" t="inlineStr">
        <is>
          <t>Equipo Comercial (2 personas, por designar)</t>
        </is>
      </c>
      <c r="F26" s="7" t="inlineStr">
        <is>
          <t>Jorman Copete (IngenIA 365)</t>
        </is>
      </c>
      <c r="G26" s="8" t="n">
        <v>46338</v>
      </c>
      <c r="H26" s="8" t="n">
        <v>46338</v>
      </c>
      <c r="I26" s="17">
        <f>H26-G26+1</f>
        <v/>
      </c>
      <c r="J26" s="7" t="inlineStr"/>
      <c r="K26" s="7" t="inlineStr">
        <is>
          <t>Asistencia de las 2 personas del módulo; ejercicio guiado completado en el sistema</t>
        </is>
      </c>
      <c r="L26" s="7" t="inlineStr">
        <is>
          <t>Pendiente</t>
        </is>
      </c>
      <c r="M26" s="7" t="inlineStr">
        <is>
          <t>Horario y modalidad: acordado entre las partes</t>
        </is>
      </c>
    </row>
    <row r="27">
      <c r="A27" s="17" t="inlineStr">
        <is>
          <t>M22</t>
        </is>
      </c>
      <c r="B27" s="22" t="inlineStr">
        <is>
          <t>Paralelo con el aplicativo actual</t>
        </is>
      </c>
      <c r="C27" s="7" t="inlineStr">
        <is>
          <t>Muestra de transacciones del paralelo</t>
        </is>
      </c>
      <c r="D27" s="7" t="inlineStr">
        <is>
          <t>Ventas por punto de venta y turno (contado y crédito), compras, traslados entre bodegas, devoluciones, ajustes, facturas CxP/CxC y cheques.</t>
        </is>
      </c>
      <c r="E27" s="7" t="inlineStr">
        <is>
          <t>Equipo Comercial (2 personas, por designar) + Gestor del proyecto (por designar)</t>
        </is>
      </c>
      <c r="F27" s="7" t="inlineStr">
        <is>
          <t>Jorman Copete (IngenIA 365)</t>
        </is>
      </c>
      <c r="G27" s="8" t="n">
        <v>46329</v>
      </c>
      <c r="H27" s="8" t="n">
        <v>46330</v>
      </c>
      <c r="I27" s="17">
        <f>H27-G27+1</f>
        <v/>
      </c>
      <c r="J27" s="7" t="inlineStr">
        <is>
          <t>M14</t>
        </is>
      </c>
      <c r="K27" s="7" t="inlineStr">
        <is>
          <t>Al menos un caso por tipo de movimiento y por punto de venta</t>
        </is>
      </c>
      <c r="L27" s="7" t="inlineStr">
        <is>
          <t>Pendiente</t>
        </is>
      </c>
      <c r="M27" s="7" t="inlineStr">
        <is>
          <t>No se replica toda la operación: sólo las transacciones más importantes y las que cubren todos los casos de la entidad, para interiorizar el manejo y detectar inconsistencias antes de la salida en vivo</t>
        </is>
      </c>
    </row>
    <row r="28">
      <c r="A28" s="17" t="inlineStr">
        <is>
          <t>M23</t>
        </is>
      </c>
      <c r="B28" s="22" t="inlineStr">
        <is>
          <t>Paralelo con el aplicativo actual</t>
        </is>
      </c>
      <c r="C28" s="7" t="inlineStr">
        <is>
          <t>Ciclo 1: registrar los movimientos de la muestra (1 al 14/11)</t>
        </is>
      </c>
      <c r="D28" s="7" t="inlineStr"/>
      <c r="E28" s="7" t="inlineStr">
        <is>
          <t>Equipo Comercial (2 personas, por designar)</t>
        </is>
      </c>
      <c r="F28" s="7" t="inlineStr">
        <is>
          <t>Jorman Copete (IngenIA 365)</t>
        </is>
      </c>
      <c r="G28" s="8" t="n">
        <v>46329</v>
      </c>
      <c r="H28" s="8" t="n">
        <v>46339</v>
      </c>
      <c r="I28" s="17">
        <f>H28-G28+1</f>
        <v/>
      </c>
      <c r="J28" s="7" t="inlineStr">
        <is>
          <t>M22</t>
        </is>
      </c>
      <c r="K28" s="7" t="inlineStr">
        <is>
          <t>Movimientos de la muestra registrados</t>
        </is>
      </c>
      <c r="L28" s="7" t="inlineStr">
        <is>
          <t>Pendiente</t>
        </is>
      </c>
      <c r="M28" s="7" t="inlineStr"/>
    </row>
    <row r="29">
      <c r="A29" s="17" t="inlineStr">
        <is>
          <t>M24</t>
        </is>
      </c>
      <c r="B29" s="22" t="inlineStr">
        <is>
          <t>Paralelo con el aplicativo actual</t>
        </is>
      </c>
      <c r="C29" s="7" t="inlineStr">
        <is>
          <t>Ciclo 1: comparar kardex, inventario valorizado y ventas con el actual; registrar diferencias</t>
        </is>
      </c>
      <c r="D29" s="7" t="inlineStr"/>
      <c r="E29" s="7" t="inlineStr">
        <is>
          <t>Equipo Comercial (2 personas, por designar)</t>
        </is>
      </c>
      <c r="F29" s="7" t="inlineStr">
        <is>
          <t>Jorman Copete (IngenIA 365)</t>
        </is>
      </c>
      <c r="G29" s="8" t="n">
        <v>46339</v>
      </c>
      <c r="H29" s="8" t="n">
        <v>46340</v>
      </c>
      <c r="I29" s="17">
        <f>H29-G29+1</f>
        <v/>
      </c>
      <c r="J29" s="7" t="inlineStr">
        <is>
          <t>M23</t>
        </is>
      </c>
      <c r="K29" s="7" t="inlineStr">
        <is>
          <t>Diferencias registradas en la bitácora con causa y acción</t>
        </is>
      </c>
      <c r="L29" s="7" t="inlineStr">
        <is>
          <t>Pendiente</t>
        </is>
      </c>
      <c r="M29" s="7" t="inlineStr"/>
    </row>
    <row r="30">
      <c r="A30" s="17" t="inlineStr">
        <is>
          <t>M25</t>
        </is>
      </c>
      <c r="B30" s="22" t="inlineStr">
        <is>
          <t>Paralelo con el aplicativo actual</t>
        </is>
      </c>
      <c r="C30" s="7" t="inlineStr">
        <is>
          <t>Ciclo 2: registrar los movimientos de la muestra (15 al 27/11)</t>
        </is>
      </c>
      <c r="D30" s="7" t="inlineStr"/>
      <c r="E30" s="7" t="inlineStr">
        <is>
          <t>Equipo Comercial (2 personas, por designar)</t>
        </is>
      </c>
      <c r="F30" s="7" t="inlineStr">
        <is>
          <t>Jorman Copete (IngenIA 365)</t>
        </is>
      </c>
      <c r="G30" s="8" t="n">
        <v>46343</v>
      </c>
      <c r="H30" s="8" t="n">
        <v>46353</v>
      </c>
      <c r="I30" s="17">
        <f>H30-G30+1</f>
        <v/>
      </c>
      <c r="J30" s="7" t="inlineStr">
        <is>
          <t>M24</t>
        </is>
      </c>
      <c r="K30" s="7" t="inlineStr">
        <is>
          <t>Movimientos de la muestra registrados</t>
        </is>
      </c>
      <c r="L30" s="7" t="inlineStr">
        <is>
          <t>Pendiente</t>
        </is>
      </c>
      <c r="M30" s="7" t="inlineStr">
        <is>
          <t>El 16/11 es festivo</t>
        </is>
      </c>
    </row>
    <row r="31">
      <c r="A31" s="17" t="inlineStr">
        <is>
          <t>M26</t>
        </is>
      </c>
      <c r="B31" s="22" t="inlineStr">
        <is>
          <t>Paralelo con el aplicativo actual</t>
        </is>
      </c>
      <c r="C31" s="7" t="inlineStr">
        <is>
          <t>Ciclo 2: comparar y registrar diferencias</t>
        </is>
      </c>
      <c r="D31" s="7" t="inlineStr"/>
      <c r="E31" s="7" t="inlineStr">
        <is>
          <t>Equipo Comercial (2 personas, por designar)</t>
        </is>
      </c>
      <c r="F31" s="7" t="inlineStr">
        <is>
          <t>Jorman Copete (IngenIA 365)</t>
        </is>
      </c>
      <c r="G31" s="8" t="n">
        <v>46353</v>
      </c>
      <c r="H31" s="8" t="n">
        <v>46354</v>
      </c>
      <c r="I31" s="17">
        <f>H31-G31+1</f>
        <v/>
      </c>
      <c r="J31" s="7" t="inlineStr">
        <is>
          <t>M25</t>
        </is>
      </c>
      <c r="K31" s="7" t="inlineStr">
        <is>
          <t>Sin diferencias abiertas sin plan</t>
        </is>
      </c>
      <c r="L31" s="7" t="inlineStr">
        <is>
          <t>Pendiente</t>
        </is>
      </c>
      <c r="M31" s="7" t="inlineStr"/>
    </row>
    <row r="32">
      <c r="A32" s="17" t="inlineStr">
        <is>
          <t>M27</t>
        </is>
      </c>
      <c r="B32" s="22" t="inlineStr">
        <is>
          <t>Paralelo con el aplicativo actual</t>
        </is>
      </c>
      <c r="C32" s="7" t="inlineStr">
        <is>
          <t>Facturación: datos del emisor, numeración e impuestos</t>
        </is>
      </c>
      <c r="D32" s="7" t="inlineStr">
        <is>
          <t>Emitir facturas de prueba y verificar datos del emisor, numeración e IVA.</t>
        </is>
      </c>
      <c r="E32" s="7" t="inlineStr">
        <is>
          <t>Equipo Comercial (2 personas, por designar)</t>
        </is>
      </c>
      <c r="F32" s="7" t="inlineStr">
        <is>
          <t>Jorman Copete (IngenIA 365)</t>
        </is>
      </c>
      <c r="G32" s="8" t="n">
        <v>46329</v>
      </c>
      <c r="H32" s="8" t="n">
        <v>46339</v>
      </c>
      <c r="I32" s="17">
        <f>H32-G32+1</f>
        <v/>
      </c>
      <c r="J32" s="7" t="inlineStr">
        <is>
          <t>M14</t>
        </is>
      </c>
      <c r="K32" s="7" t="inlineStr">
        <is>
          <t>Facturas de prueba correctas; alcance de facturación electrónica (DIAN) confirmado con el proveedor</t>
        </is>
      </c>
      <c r="L32" s="7" t="inlineStr">
        <is>
          <t>Pendiente</t>
        </is>
      </c>
      <c r="M32" s="7" t="inlineStr">
        <is>
          <t>Punto por confirmar con IngenIA</t>
        </is>
      </c>
    </row>
    <row r="33">
      <c r="A33" s="17" t="inlineStr">
        <is>
          <t>M28</t>
        </is>
      </c>
      <c r="B33" s="22" t="inlineStr">
        <is>
          <t>Paralelo con el aplicativo actual</t>
        </is>
      </c>
      <c r="C33" s="7" t="inlineStr">
        <is>
          <t>Cierres de turno y flujo de caja de la muestra</t>
        </is>
      </c>
      <c r="D33" s="7" t="inlineStr"/>
      <c r="E33" s="7" t="inlineStr">
        <is>
          <t>Equipo Comercial (2 personas, por designar)</t>
        </is>
      </c>
      <c r="F33" s="7" t="inlineStr">
        <is>
          <t>Jorman Copete (IngenIA 365)</t>
        </is>
      </c>
      <c r="G33" s="8" t="n">
        <v>46336</v>
      </c>
      <c r="H33" s="8" t="n">
        <v>46353</v>
      </c>
      <c r="I33" s="17">
        <f>H33-G33+1</f>
        <v/>
      </c>
      <c r="J33" s="7" t="inlineStr">
        <is>
          <t>M23</t>
        </is>
      </c>
      <c r="K33" s="7" t="inlineStr">
        <is>
          <t>Cierres de turno cuadrados con el actual</t>
        </is>
      </c>
      <c r="L33" s="7" t="inlineStr">
        <is>
          <t>Pendiente</t>
        </is>
      </c>
      <c r="M33" s="7" t="inlineStr"/>
    </row>
    <row r="34">
      <c r="A34" s="17" t="inlineStr">
        <is>
          <t>M29</t>
        </is>
      </c>
      <c r="B34" s="22" t="inlineStr">
        <is>
          <t>Paralelo con el aplicativo actual</t>
        </is>
      </c>
      <c r="C34" s="7" t="inlineStr">
        <is>
          <t>Ajustes de parametrización derivados del paralelo</t>
        </is>
      </c>
      <c r="D34" s="7" t="inlineStr"/>
      <c r="E34" s="7" t="inlineStr">
        <is>
          <t>Equipo Comercial (2 personas, por designar)</t>
        </is>
      </c>
      <c r="F34" s="7" t="inlineStr">
        <is>
          <t>Jorman Copete (IngenIA 365)</t>
        </is>
      </c>
      <c r="G34" s="8" t="n">
        <v>46340</v>
      </c>
      <c r="H34" s="8" t="n">
        <v>46353</v>
      </c>
      <c r="I34" s="17">
        <f>H34-G34+1</f>
        <v/>
      </c>
      <c r="J34" s="7" t="inlineStr">
        <is>
          <t>M24</t>
        </is>
      </c>
      <c r="K34" s="7" t="inlineStr">
        <is>
          <t>Cada diferencia cerrada con ajuste o justificación</t>
        </is>
      </c>
      <c r="L34" s="7" t="inlineStr">
        <is>
          <t>Pendiente</t>
        </is>
      </c>
      <c r="M34" s="7" t="inlineStr"/>
    </row>
    <row r="35">
      <c r="A35" s="17" t="inlineStr">
        <is>
          <t>M30</t>
        </is>
      </c>
      <c r="B35" s="22" t="inlineStr">
        <is>
          <t>Paralelo con el aplicativo actual</t>
        </is>
      </c>
      <c r="C35" s="7" t="inlineStr">
        <is>
          <t>Contabilización de ventas e inventario (comprobante resumen hasta E3)</t>
        </is>
      </c>
      <c r="D35" s="7" t="inlineStr"/>
      <c r="E35" s="7" t="inlineStr">
        <is>
          <t>Equipo Comercial (2 personas, por designar) + Contadora Rafaela Lastra España</t>
        </is>
      </c>
      <c r="F35" s="7" t="inlineStr">
        <is>
          <t>Jorman Copete (IngenIA 365)</t>
        </is>
      </c>
      <c r="G35" s="8" t="n">
        <v>46335</v>
      </c>
      <c r="H35" s="8" t="n">
        <v>46346</v>
      </c>
      <c r="I35" s="17">
        <f>H35-G35+1</f>
        <v/>
      </c>
      <c r="J35" s="7" t="inlineStr">
        <is>
          <t>C35 (Contabilidad)</t>
        </is>
      </c>
      <c r="K35" s="7" t="inlineStr">
        <is>
          <t>Comprobante resumen de la muestra contabilizado</t>
        </is>
      </c>
      <c r="L35" s="7" t="inlineStr">
        <is>
          <t>Pendiente</t>
        </is>
      </c>
      <c r="M35" s="7" t="inlineStr"/>
    </row>
    <row r="36">
      <c r="A36" s="17" t="inlineStr">
        <is>
          <t>M31</t>
        </is>
      </c>
      <c r="B36" s="23" t="inlineStr">
        <is>
          <t>Cierre y salida en vivo</t>
        </is>
      </c>
      <c r="C36" s="7" t="inlineStr">
        <is>
          <t>Toma física de inventario al 30/11</t>
        </is>
      </c>
      <c r="D36" s="7" t="inlineStr">
        <is>
          <t>Conteo por bodega al cierre del 30/11 (o del 28/11 con ajuste de los movimientos del 29 y 30).</t>
        </is>
      </c>
      <c r="E36" s="7" t="inlineStr">
        <is>
          <t>Equipo Comercial (2 personas, por designar)</t>
        </is>
      </c>
      <c r="F36" s="7" t="inlineStr">
        <is>
          <t>Jorman Copete (IngenIA 365)</t>
        </is>
      </c>
      <c r="G36" s="8" t="n">
        <v>46354</v>
      </c>
      <c r="H36" s="8" t="n">
        <v>46356</v>
      </c>
      <c r="I36" s="17">
        <f>H36-G36+1</f>
        <v/>
      </c>
      <c r="J36" s="7" t="inlineStr"/>
      <c r="K36" s="7" t="inlineStr">
        <is>
          <t>Conteo por bodega firmado; diferencias con el kardex del actual explicadas</t>
        </is>
      </c>
      <c r="L36" s="7" t="inlineStr">
        <is>
          <t>Pendiente</t>
        </is>
      </c>
      <c r="M36" s="7" t="inlineStr"/>
    </row>
    <row r="37">
      <c r="A37" s="17" t="inlineStr">
        <is>
          <t>M32</t>
        </is>
      </c>
      <c r="B37" s="23" t="inlineStr">
        <is>
          <t>Cierre y salida en vivo</t>
        </is>
      </c>
      <c r="C37" s="7" t="inlineStr">
        <is>
          <t>Carga del inventario inicial definitivo</t>
        </is>
      </c>
      <c r="D37" s="7" t="inlineStr"/>
      <c r="E37" s="7" t="inlineStr">
        <is>
          <t>Equipo Comercial (2 personas, por designar)</t>
        </is>
      </c>
      <c r="F37" s="7" t="inlineStr">
        <is>
          <t>Jorman Copete (IngenIA 365)</t>
        </is>
      </c>
      <c r="G37" s="8" t="n">
        <v>46356</v>
      </c>
      <c r="H37" s="8" t="n">
        <v>46358</v>
      </c>
      <c r="I37" s="17">
        <f>H37-G37+1</f>
        <v/>
      </c>
      <c r="J37" s="7" t="inlineStr">
        <is>
          <t>M31</t>
        </is>
      </c>
      <c r="K37" s="7" t="inlineStr">
        <is>
          <t>Inventario valorizado = toma física; diferencia con contabilidad conciliada con la contadora</t>
        </is>
      </c>
      <c r="L37" s="7" t="inlineStr">
        <is>
          <t>Pendiente</t>
        </is>
      </c>
      <c r="M37" s="7" t="inlineStr"/>
    </row>
    <row r="38">
      <c r="A38" s="17" t="inlineStr">
        <is>
          <t>M33</t>
        </is>
      </c>
      <c r="B38" s="23" t="inlineStr">
        <is>
          <t>Cierre y salida en vivo</t>
        </is>
      </c>
      <c r="C38" s="7" t="inlineStr">
        <is>
          <t>Saldos de CxC clientes y CxP proveedores al 30/11</t>
        </is>
      </c>
      <c r="D38" s="7" t="inlineStr"/>
      <c r="E38" s="7" t="inlineStr">
        <is>
          <t>Equipo Comercial (2 personas, por designar)</t>
        </is>
      </c>
      <c r="F38" s="7" t="inlineStr">
        <is>
          <t>Jorman Copete (IngenIA 365)</t>
        </is>
      </c>
      <c r="G38" s="8" t="n">
        <v>46357</v>
      </c>
      <c r="H38" s="8" t="n">
        <v>46359</v>
      </c>
      <c r="I38" s="17">
        <f>H38-G38+1</f>
        <v/>
      </c>
      <c r="J38" s="7" t="inlineStr">
        <is>
          <t>M11</t>
        </is>
      </c>
      <c r="K38" s="7" t="inlineStr">
        <is>
          <t>Facturas pendientes cargadas en Tesorería; totales iguales al actual</t>
        </is>
      </c>
      <c r="L38" s="7" t="inlineStr">
        <is>
          <t>Pendiente</t>
        </is>
      </c>
      <c r="M38" s="7" t="inlineStr"/>
    </row>
    <row r="39">
      <c r="A39" s="17" t="inlineStr">
        <is>
          <t>M34</t>
        </is>
      </c>
      <c r="B39" s="23" t="inlineStr">
        <is>
          <t>Cierre y salida en vivo</t>
        </is>
      </c>
      <c r="C39" s="7" t="inlineStr">
        <is>
          <t>Respaldo y plan de reversa (comercial)</t>
        </is>
      </c>
      <c r="D39" s="7" t="inlineStr"/>
      <c r="E39" s="7" t="inlineStr">
        <is>
          <t>Gestor del proyecto (por designar) + Equipo Comercial (2 personas, por designar)</t>
        </is>
      </c>
      <c r="F39" s="7" t="inlineStr">
        <is>
          <t>Jorman Copete (IngenIA 365)</t>
        </is>
      </c>
      <c r="G39" s="8" t="n">
        <v>46353</v>
      </c>
      <c r="H39" s="8" t="n">
        <v>46356</v>
      </c>
      <c r="I39" s="17">
        <f>H39-G39+1</f>
        <v/>
      </c>
      <c r="J39" s="7" t="inlineStr"/>
      <c r="K39" s="7" t="inlineStr">
        <is>
          <t>Informes de inventario y ventas 2026 exportados; procedimiento de reversa escrito</t>
        </is>
      </c>
      <c r="L39" s="7" t="inlineStr">
        <is>
          <t>Pendiente</t>
        </is>
      </c>
      <c r="M39" s="7" t="inlineStr"/>
    </row>
    <row r="40">
      <c r="A40" s="19" t="inlineStr">
        <is>
          <t>M35</t>
        </is>
      </c>
      <c r="B40" s="23" t="inlineStr">
        <is>
          <t>Cierre y salida en vivo</t>
        </is>
      </c>
      <c r="C40" s="20" t="inlineStr">
        <is>
          <t>◆ HITO — Corte del paralelo</t>
        </is>
      </c>
      <c r="D40" s="7" t="inlineStr"/>
      <c r="E40" s="7" t="inlineStr">
        <is>
          <t>Gestor del proyecto (por designar)</t>
        </is>
      </c>
      <c r="F40" s="7" t="inlineStr">
        <is>
          <t>Jorman Copete (IngenIA 365)</t>
        </is>
      </c>
      <c r="G40" s="8" t="n">
        <v>46354</v>
      </c>
      <c r="H40" s="8" t="n">
        <v>46354</v>
      </c>
      <c r="I40" s="17">
        <f>H40-G40+1</f>
        <v/>
      </c>
      <c r="J40" s="7" t="inlineStr">
        <is>
          <t>M26</t>
        </is>
      </c>
      <c r="K40" s="7" t="inlineStr">
        <is>
          <t>Hito verificado y registrado en el acta de seguimiento</t>
        </is>
      </c>
      <c r="L40" s="7" t="inlineStr">
        <is>
          <t>Pendiente</t>
        </is>
      </c>
      <c r="M40" s="7" t="inlineStr"/>
    </row>
    <row r="41">
      <c r="A41" s="19" t="inlineStr">
        <is>
          <t>M36</t>
        </is>
      </c>
      <c r="B41" s="23" t="inlineStr">
        <is>
          <t>Cierre y salida en vivo</t>
        </is>
      </c>
      <c r="C41" s="20" t="inlineStr">
        <is>
          <t>◆ HITO — Salida en vivo: ventas y movimientos sólo en el nuevo</t>
        </is>
      </c>
      <c r="D41" s="7" t="inlineStr"/>
      <c r="E41" s="7" t="inlineStr">
        <is>
          <t>Gestor del proyecto (por designar)</t>
        </is>
      </c>
      <c r="F41" s="7" t="inlineStr">
        <is>
          <t>Jorman Copete (IngenIA 365)</t>
        </is>
      </c>
      <c r="G41" s="8" t="n">
        <v>46357</v>
      </c>
      <c r="H41" s="8" t="n">
        <v>46357</v>
      </c>
      <c r="I41" s="17">
        <f>H41-G41+1</f>
        <v/>
      </c>
      <c r="J41" s="7" t="inlineStr"/>
      <c r="K41" s="7" t="inlineStr">
        <is>
          <t>Hito verificado y registrado en el acta de seguimiento</t>
        </is>
      </c>
      <c r="L41" s="7" t="inlineStr">
        <is>
          <t>Pendiente</t>
        </is>
      </c>
      <c r="M41" s="7" t="inlineStr"/>
    </row>
    <row r="42">
      <c r="A42" s="17" t="inlineStr">
        <is>
          <t>M37</t>
        </is>
      </c>
      <c r="B42" s="23" t="inlineStr">
        <is>
          <t>Cierre y salida en vivo</t>
        </is>
      </c>
      <c r="C42" s="7" t="inlineStr">
        <is>
          <t>Acompañamiento de la primera semana en vivo</t>
        </is>
      </c>
      <c r="D42" s="7" t="inlineStr"/>
      <c r="E42" s="7" t="inlineStr">
        <is>
          <t>Equipo Comercial (2 personas, por designar)</t>
        </is>
      </c>
      <c r="F42" s="7" t="inlineStr">
        <is>
          <t>Jorman Copete (IngenIA 365)</t>
        </is>
      </c>
      <c r="G42" s="8" t="n">
        <v>46357</v>
      </c>
      <c r="H42" s="8" t="n">
        <v>46360</v>
      </c>
      <c r="I42" s="17">
        <f>H42-G42+1</f>
        <v/>
      </c>
      <c r="J42" s="7" t="inlineStr"/>
      <c r="K42" s="7" t="inlineStr">
        <is>
          <t>Ventas y movimientos de diciembre sólo en el nuevo; incidencias resueltas o escaladas</t>
        </is>
      </c>
      <c r="L42" s="7" t="inlineStr">
        <is>
          <t>Pendiente</t>
        </is>
      </c>
      <c r="M42" s="7" t="inlineStr"/>
    </row>
  </sheetData>
  <autoFilter ref="A5:M42"/>
  <conditionalFormatting sqref="L6:L42">
    <cfRule type="cellIs" priority="1" operator="equal" dxfId="0">
      <formula>"Terminada"</formula>
    </cfRule>
    <cfRule type="cellIs" priority="2" operator="equal" dxfId="1">
      <formula>"En curso"</formula>
    </cfRule>
    <cfRule type="cellIs" priority="3" operator="equal" dxfId="2">
      <formula>"Bloqueada"</formula>
    </cfRule>
    <cfRule type="cellIs" priority="4" operator="equal" dxfId="3">
      <formula>"Por confirmar"</formula>
    </cfRule>
  </conditionalFormatting>
  <dataValidations count="1">
    <dataValidation sqref="L6:L42" showDropDown="0" showInputMessage="0" showErrorMessage="0" allowBlank="1" errorTitle="Estado" error="Elija un estado de la lista" type="list">
      <formula1>"Pendiente,En curso,Terminada,Bloqueada,Por confirmar"</formula1>
    </dataValidation>
  </dataValidations>
  <pageMargins left="0.75" right="0.75" top="1" bottom="1" header="0.5" footer="0.5"/>
  <pageSetup orientation="landscape" paperSize="5" fitToHeight="0" fitToWidth="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M4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4" customWidth="1" min="3" max="3"/>
    <col width="58" customWidth="1" min="4" max="4"/>
    <col width="34" customWidth="1" min="5" max="5"/>
    <col width="24" customWidth="1" min="6" max="6"/>
    <col width="12" customWidth="1" min="7" max="7"/>
    <col width="12" customWidth="1" min="8" max="8"/>
    <col width="10" customWidth="1" min="9" max="9"/>
    <col width="16" customWidth="1" min="10" max="10"/>
    <col width="48" customWidth="1" min="11" max="11"/>
    <col width="14" customWidth="1" min="12" max="12"/>
    <col width="42" customWidth="1" min="13" max="13"/>
  </cols>
  <sheetData>
    <row r="1">
      <c r="A1" s="1" t="inlineStr">
        <is>
          <t>Cartera financiera — Plan de implementación IngenIA365ERP · COOFLOPAL</t>
        </is>
      </c>
    </row>
    <row r="2">
      <c r="A2" s="16" t="inlineStr">
        <is>
          <t>Del 24/10/2026 al 28/11/2026 · parametrización y configuración hasta el 10/11/2026 · paralelo con el aplicativo actual hasta el 28/11/2026 · salida en vivo 01/12/2026. Duración en días calendario, inclusive. Fechas estimadas: base para la salida en vivo.</t>
        </is>
      </c>
    </row>
    <row r="3" ht="30" customHeight="1">
      <c r="B3" s="9" t="inlineStr">
        <is>
          <t>Leyenda de fases:</t>
        </is>
      </c>
      <c r="C3" s="10" t="inlineStr">
        <is>
          <t>Preparación y parametrización</t>
        </is>
      </c>
      <c r="D3" s="11" t="inlineStr">
        <is>
          <t>Capacitación</t>
        </is>
      </c>
      <c r="E3" s="12" t="inlineStr">
        <is>
          <t>Paralelo con el aplicativo actual</t>
        </is>
      </c>
      <c r="F3" s="13" t="inlineStr">
        <is>
          <t>Cierre y salida en vivo</t>
        </is>
      </c>
      <c r="G3" s="14" t="inlineStr">
        <is>
          <t>Gestión del proyecto</t>
        </is>
      </c>
      <c r="H3" s="15" t="inlineStr">
        <is>
          <t>◆ Hito</t>
        </is>
      </c>
    </row>
    <row r="5" ht="32" customHeight="1">
      <c r="A5" s="6" t="inlineStr">
        <is>
          <t>Nº</t>
        </is>
      </c>
      <c r="B5" s="6" t="inlineStr">
        <is>
          <t>Fase</t>
        </is>
      </c>
      <c r="C5" s="6" t="inlineStr">
        <is>
          <t>Tarea</t>
        </is>
      </c>
      <c r="D5" s="6" t="inlineStr">
        <is>
          <t>Descripción</t>
        </is>
      </c>
      <c r="E5" s="6" t="inlineStr">
        <is>
          <t>Responsable (cooperativa)</t>
        </is>
      </c>
      <c r="F5" s="6" t="inlineStr">
        <is>
          <t>Apoyo IngenIA</t>
        </is>
      </c>
      <c r="G5" s="6" t="inlineStr">
        <is>
          <t>Fecha inicio</t>
        </is>
      </c>
      <c r="H5" s="6" t="inlineStr">
        <is>
          <t>Fecha fin</t>
        </is>
      </c>
      <c r="I5" s="6" t="inlineStr">
        <is>
          <t>Duración (días)</t>
        </is>
      </c>
      <c r="J5" s="6" t="inlineStr">
        <is>
          <t>Dependencia</t>
        </is>
      </c>
      <c r="K5" s="6" t="inlineStr">
        <is>
          <t>Entregable / criterio de listo</t>
        </is>
      </c>
      <c r="L5" s="6" t="inlineStr">
        <is>
          <t>Estado</t>
        </is>
      </c>
      <c r="M5" s="6" t="inlineStr">
        <is>
          <t>Observaciones</t>
        </is>
      </c>
    </row>
    <row r="6">
      <c r="A6" s="17" t="inlineStr">
        <is>
          <t>K01</t>
        </is>
      </c>
      <c r="B6" s="18" t="inlineStr">
        <is>
          <t>Preparación y parametrización</t>
        </is>
      </c>
      <c r="C6" s="7" t="inlineStr">
        <is>
          <t>Acceso y roles del equipo de cartera</t>
        </is>
      </c>
      <c r="D6" s="7" t="inlineStr"/>
      <c r="E6" s="7" t="inlineStr">
        <is>
          <t>Equipo Cartera (2 personas, por designar)</t>
        </is>
      </c>
      <c r="F6" s="7" t="inlineStr">
        <is>
          <t>Jorman Copete (IngenIA 365)</t>
        </is>
      </c>
      <c r="G6" s="8" t="n">
        <v>46319</v>
      </c>
      <c r="H6" s="8" t="n">
        <v>46319</v>
      </c>
      <c r="I6" s="17">
        <f>H6-G6+1</f>
        <v/>
      </c>
      <c r="J6" s="7" t="inlineStr"/>
      <c r="K6" s="7" t="inlineStr">
        <is>
          <t>Las 2 personas ingresan con MFA; roles asignados</t>
        </is>
      </c>
      <c r="L6" s="7" t="inlineStr">
        <is>
          <t>Pendiente</t>
        </is>
      </c>
      <c r="M6" s="7" t="inlineStr"/>
    </row>
    <row r="7">
      <c r="A7" s="17" t="inlineStr">
        <is>
          <t>K02</t>
        </is>
      </c>
      <c r="B7" s="18" t="inlineStr">
        <is>
          <t>Preparación y parametrización</t>
        </is>
      </c>
      <c r="C7" s="7" t="inlineStr">
        <is>
          <t>Levantamiento de productos de crédito y aportes</t>
        </is>
      </c>
      <c r="D7" s="7" t="inlineStr">
        <is>
          <t>Documentar las líneas vigentes (tasas, plazos, garantías, periodicidad), el reglamento de aportes, la política de provisión y calificación, zonas y agencias.</t>
        </is>
      </c>
      <c r="E7" s="7" t="inlineStr">
        <is>
          <t>Equipo Cartera (2 personas, por designar) + Gerencia</t>
        </is>
      </c>
      <c r="F7" s="7" t="inlineStr">
        <is>
          <t>Jorman Copete (IngenIA 365)</t>
        </is>
      </c>
      <c r="G7" s="8" t="n">
        <v>46321</v>
      </c>
      <c r="H7" s="8" t="n">
        <v>46323</v>
      </c>
      <c r="I7" s="17">
        <f>H7-G7+1</f>
        <v/>
      </c>
      <c r="J7" s="7" t="inlineStr">
        <is>
          <t>K01</t>
        </is>
      </c>
      <c r="K7" s="7" t="inlineStr">
        <is>
          <t>Documento de levantamiento aprobado</t>
        </is>
      </c>
      <c r="L7" s="7" t="inlineStr">
        <is>
          <t>Pendiente</t>
        </is>
      </c>
      <c r="M7" s="7" t="inlineStr"/>
    </row>
    <row r="8">
      <c r="A8" s="17" t="inlineStr">
        <is>
          <t>K03</t>
        </is>
      </c>
      <c r="B8" s="18" t="inlineStr">
        <is>
          <t>Preparación y parametrización</t>
        </is>
      </c>
      <c r="C8" s="7" t="inlineStr">
        <is>
          <t>Agencias, zonas y tipos de zona</t>
        </is>
      </c>
      <c r="D8" s="7" t="inlineStr"/>
      <c r="E8" s="7" t="inlineStr">
        <is>
          <t>Equipo Cartera (2 personas, por designar)</t>
        </is>
      </c>
      <c r="F8" s="7" t="inlineStr">
        <is>
          <t>Jorman Copete (IngenIA 365)</t>
        </is>
      </c>
      <c r="G8" s="8" t="n">
        <v>46322</v>
      </c>
      <c r="H8" s="8" t="n">
        <v>46323</v>
      </c>
      <c r="I8" s="17">
        <f>H8-G8+1</f>
        <v/>
      </c>
      <c r="J8" s="7" t="inlineStr">
        <is>
          <t>K02</t>
        </is>
      </c>
      <c r="K8" s="7" t="inlineStr">
        <is>
          <t>Agencias y zonas creadas</t>
        </is>
      </c>
      <c r="L8" s="7" t="inlineStr">
        <is>
          <t>Pendiente</t>
        </is>
      </c>
      <c r="M8" s="7" t="inlineStr"/>
    </row>
    <row r="9">
      <c r="A9" s="17" t="inlineStr">
        <is>
          <t>K04</t>
        </is>
      </c>
      <c r="B9" s="18" t="inlineStr">
        <is>
          <t>Preparación y parametrización</t>
        </is>
      </c>
      <c r="C9" s="7" t="inlineStr">
        <is>
          <t>Periodicidad y códigos de movimiento</t>
        </is>
      </c>
      <c r="D9" s="7" t="inlineStr"/>
      <c r="E9" s="7" t="inlineStr">
        <is>
          <t>Equipo Cartera (2 personas, por designar)</t>
        </is>
      </c>
      <c r="F9" s="7" t="inlineStr">
        <is>
          <t>Jorman Copete (IngenIA 365)</t>
        </is>
      </c>
      <c r="G9" s="8" t="n">
        <v>46322</v>
      </c>
      <c r="H9" s="8" t="n">
        <v>46324</v>
      </c>
      <c r="I9" s="17">
        <f>H9-G9+1</f>
        <v/>
      </c>
      <c r="J9" s="7" t="inlineStr">
        <is>
          <t>K02</t>
        </is>
      </c>
      <c r="K9" s="7" t="inlineStr">
        <is>
          <t>Periodicidades y códigos de movimiento equivalentes a los actuales</t>
        </is>
      </c>
      <c r="L9" s="7" t="inlineStr">
        <is>
          <t>Pendiente</t>
        </is>
      </c>
      <c r="M9" s="7" t="inlineStr"/>
    </row>
    <row r="10">
      <c r="A10" s="17" t="inlineStr">
        <is>
          <t>K05</t>
        </is>
      </c>
      <c r="B10" s="18" t="inlineStr">
        <is>
          <t>Preparación y parametrización</t>
        </is>
      </c>
      <c r="C10" s="7" t="inlineStr">
        <is>
          <t>Tasas de interés y tasas por plazo</t>
        </is>
      </c>
      <c r="D10" s="7" t="inlineStr"/>
      <c r="E10" s="7" t="inlineStr">
        <is>
          <t>Equipo Cartera (2 personas, por designar)</t>
        </is>
      </c>
      <c r="F10" s="7" t="inlineStr">
        <is>
          <t>Jorman Copete (IngenIA 365)</t>
        </is>
      </c>
      <c r="G10" s="8" t="n">
        <v>46324</v>
      </c>
      <c r="H10" s="8" t="n">
        <v>46325</v>
      </c>
      <c r="I10" s="17">
        <f>H10-G10+1</f>
        <v/>
      </c>
      <c r="J10" s="7" t="inlineStr">
        <is>
          <t>K02</t>
        </is>
      </c>
      <c r="K10" s="7" t="inlineStr">
        <is>
          <t>Tasas por línea y plazo y tasa de mora dentro del límite de usura vigente</t>
        </is>
      </c>
      <c r="L10" s="7" t="inlineStr">
        <is>
          <t>Pendiente</t>
        </is>
      </c>
      <c r="M10" s="7" t="inlineStr"/>
    </row>
    <row r="11">
      <c r="A11" s="17" t="inlineStr">
        <is>
          <t>K06</t>
        </is>
      </c>
      <c r="B11" s="18" t="inlineStr">
        <is>
          <t>Preparación y parametrización</t>
        </is>
      </c>
      <c r="C11" s="7" t="inlineStr">
        <is>
          <t>Líneas de crédito</t>
        </is>
      </c>
      <c r="D11" s="7" t="inlineStr"/>
      <c r="E11" s="7" t="inlineStr">
        <is>
          <t>Equipo Cartera (2 personas, por designar)</t>
        </is>
      </c>
      <c r="F11" s="7" t="inlineStr">
        <is>
          <t>Jorman Copete (IngenIA 365)</t>
        </is>
      </c>
      <c r="G11" s="8" t="n">
        <v>46324</v>
      </c>
      <c r="H11" s="8" t="n">
        <v>46329</v>
      </c>
      <c r="I11" s="17">
        <f>H11-G11+1</f>
        <v/>
      </c>
      <c r="J11" s="7" t="inlineStr">
        <is>
          <t>K04, K05</t>
        </is>
      </c>
      <c r="K11" s="7" t="inlineStr">
        <is>
          <t>Todas las líneas vigentes creadas</t>
        </is>
      </c>
      <c r="L11" s="7" t="inlineStr">
        <is>
          <t>Pendiente</t>
        </is>
      </c>
      <c r="M11" s="7" t="inlineStr">
        <is>
          <t>El 02/11 es festivo</t>
        </is>
      </c>
    </row>
    <row r="12">
      <c r="A12" s="17" t="inlineStr">
        <is>
          <t>K07</t>
        </is>
      </c>
      <c r="B12" s="18" t="inlineStr">
        <is>
          <t>Preparación y parametrización</t>
        </is>
      </c>
      <c r="C12" s="7" t="inlineStr">
        <is>
          <t>Parámetros de provisión y calificación</t>
        </is>
      </c>
      <c r="D12" s="7" t="inlineStr"/>
      <c r="E12" s="7" t="inlineStr">
        <is>
          <t>Equipo Cartera (2 personas, por designar) + Contadora Rafaela Lastra España</t>
        </is>
      </c>
      <c r="F12" s="7" t="inlineStr">
        <is>
          <t>Jorman Copete (IngenIA 365)</t>
        </is>
      </c>
      <c r="G12" s="8" t="n">
        <v>46329</v>
      </c>
      <c r="H12" s="8" t="n">
        <v>46330</v>
      </c>
      <c r="I12" s="17">
        <f>H12-G12+1</f>
        <v/>
      </c>
      <c r="J12" s="7" t="inlineStr">
        <is>
          <t>K02</t>
        </is>
      </c>
      <c r="K12" s="7" t="inlineStr">
        <is>
          <t>Categorías A–E por días de mora y porcentajes de provisión según la Circular Básica Contable y Financiera de la Supersolidaria</t>
        </is>
      </c>
      <c r="L12" s="7" t="inlineStr">
        <is>
          <t>Pendiente</t>
        </is>
      </c>
      <c r="M12" s="7" t="inlineStr"/>
    </row>
    <row r="13">
      <c r="A13" s="17" t="inlineStr">
        <is>
          <t>K08</t>
        </is>
      </c>
      <c r="B13" s="18" t="inlineStr">
        <is>
          <t>Preparación y parametrización</t>
        </is>
      </c>
      <c r="C13" s="7" t="inlineStr">
        <is>
          <t>Parámetros de aportes sociales</t>
        </is>
      </c>
      <c r="D13" s="7" t="inlineStr"/>
      <c r="E13" s="7" t="inlineStr">
        <is>
          <t>Equipo Cartera (2 personas, por designar)</t>
        </is>
      </c>
      <c r="F13" s="7" t="inlineStr">
        <is>
          <t>Jorman Copete (IngenIA 365)</t>
        </is>
      </c>
      <c r="G13" s="8" t="n">
        <v>46329</v>
      </c>
      <c r="H13" s="8" t="n">
        <v>46330</v>
      </c>
      <c r="I13" s="17">
        <f>H13-G13+1</f>
        <v/>
      </c>
      <c r="J13" s="7" t="inlineStr">
        <is>
          <t>K02</t>
        </is>
      </c>
      <c r="K13" s="7" t="inlineStr">
        <is>
          <t>Cuota, periodicidad y forma de recaudo de aportes configuradas</t>
        </is>
      </c>
      <c r="L13" s="7" t="inlineStr">
        <is>
          <t>Pendiente</t>
        </is>
      </c>
      <c r="M13" s="7" t="inlineStr"/>
    </row>
    <row r="14">
      <c r="A14" s="17" t="inlineStr">
        <is>
          <t>K09</t>
        </is>
      </c>
      <c r="B14" s="18" t="inlineStr">
        <is>
          <t>Preparación y parametrización</t>
        </is>
      </c>
      <c r="C14" s="7" t="inlineStr">
        <is>
          <t>Conceptos de descuento y estados de retiro</t>
        </is>
      </c>
      <c r="D14" s="7" t="inlineStr"/>
      <c r="E14" s="7" t="inlineStr">
        <is>
          <t>Equipo Cartera (2 personas, por designar)</t>
        </is>
      </c>
      <c r="F14" s="7" t="inlineStr">
        <is>
          <t>Jorman Copete (IngenIA 365)</t>
        </is>
      </c>
      <c r="G14" s="8" t="n">
        <v>46330</v>
      </c>
      <c r="H14" s="8" t="n">
        <v>46331</v>
      </c>
      <c r="I14" s="17">
        <f>H14-G14+1</f>
        <v/>
      </c>
      <c r="J14" s="7" t="inlineStr">
        <is>
          <t>K02</t>
        </is>
      </c>
      <c r="K14" s="7" t="inlineStr">
        <is>
          <t>Conceptos y estados equivalentes a los actuales</t>
        </is>
      </c>
      <c r="L14" s="7" t="inlineStr">
        <is>
          <t>Pendiente</t>
        </is>
      </c>
      <c r="M14" s="7" t="inlineStr"/>
    </row>
    <row r="15">
      <c r="A15" s="17" t="inlineStr">
        <is>
          <t>K10</t>
        </is>
      </c>
      <c r="B15" s="18" t="inlineStr">
        <is>
          <t>Preparación y parametrización</t>
        </is>
      </c>
      <c r="C15" s="7" t="inlineStr">
        <is>
          <t>SIPLA / SARLAFT: parámetros</t>
        </is>
      </c>
      <c r="D15" s="7" t="inlineStr"/>
      <c r="E15" s="7" t="inlineStr">
        <is>
          <t>Equipo Cartera (2 personas, por designar) + oficial de cumplimiento (si existe)</t>
        </is>
      </c>
      <c r="F15" s="7" t="inlineStr">
        <is>
          <t>Jorman Copete (IngenIA 365)</t>
        </is>
      </c>
      <c r="G15" s="8" t="n">
        <v>46331</v>
      </c>
      <c r="H15" s="8" t="n">
        <v>46332</v>
      </c>
      <c r="I15" s="17">
        <f>H15-G15+1</f>
        <v/>
      </c>
      <c r="J15" s="7" t="inlineStr">
        <is>
          <t>K02</t>
        </is>
      </c>
      <c r="K15" s="7" t="inlineStr">
        <is>
          <t>Umbrales y señales según el manual de la cooperativa</t>
        </is>
      </c>
      <c r="L15" s="7" t="inlineStr">
        <is>
          <t>Pendiente</t>
        </is>
      </c>
      <c r="M15" s="7" t="inlineStr"/>
    </row>
    <row r="16">
      <c r="A16" s="17" t="inlineStr">
        <is>
          <t>K11</t>
        </is>
      </c>
      <c r="B16" s="18" t="inlineStr">
        <is>
          <t>Preparación y parametrización</t>
        </is>
      </c>
      <c r="C16" s="7" t="inlineStr">
        <is>
          <t>Scoring y parámetros de vivienda (si aplican)</t>
        </is>
      </c>
      <c r="D16" s="7" t="inlineStr"/>
      <c r="E16" s="7" t="inlineStr">
        <is>
          <t>Equipo Cartera (2 personas, por designar)</t>
        </is>
      </c>
      <c r="F16" s="7" t="inlineStr">
        <is>
          <t>Jorman Copete (IngenIA 365)</t>
        </is>
      </c>
      <c r="G16" s="8" t="n">
        <v>46331</v>
      </c>
      <c r="H16" s="8" t="n">
        <v>46332</v>
      </c>
      <c r="I16" s="17">
        <f>H16-G16+1</f>
        <v/>
      </c>
      <c r="J16" s="7" t="inlineStr">
        <is>
          <t>K02</t>
        </is>
      </c>
      <c r="K16" s="7" t="inlineStr">
        <is>
          <t>Configurados o marcados como «no aplica»</t>
        </is>
      </c>
      <c r="L16" s="7" t="inlineStr">
        <is>
          <t>Pendiente</t>
        </is>
      </c>
      <c r="M16" s="7" t="inlineStr">
        <is>
          <t>Marcar «no aplica» si la cooperativa no los usa</t>
        </is>
      </c>
    </row>
    <row r="17">
      <c r="A17" s="17" t="inlineStr">
        <is>
          <t>K12</t>
        </is>
      </c>
      <c r="B17" s="18" t="inlineStr">
        <is>
          <t>Preparación y parametrización</t>
        </is>
      </c>
      <c r="C17" s="7" t="inlineStr">
        <is>
          <t>Cuentas de cartera (con Contabilidad)</t>
        </is>
      </c>
      <c r="D17" s="7" t="inlineStr">
        <is>
          <t>Asignar las cuentas contables por línea y concepto: capital, intereses, mora, provisión y aportes.</t>
        </is>
      </c>
      <c r="E17" s="7" t="inlineStr">
        <is>
          <t>Equipo Cartera (2 personas, por designar) + Contadora Rafaela Lastra España</t>
        </is>
      </c>
      <c r="F17" s="7" t="inlineStr">
        <is>
          <t>Jorman Copete (IngenIA 365)</t>
        </is>
      </c>
      <c r="G17" s="8" t="n">
        <v>46331</v>
      </c>
      <c r="H17" s="8" t="n">
        <v>46335</v>
      </c>
      <c r="I17" s="17">
        <f>H17-G17+1</f>
        <v/>
      </c>
      <c r="J17" s="7" t="inlineStr">
        <is>
          <t>C14 (Contabilidad)</t>
        </is>
      </c>
      <c r="K17" s="7" t="inlineStr">
        <is>
          <t>Todas las líneas y conceptos con cuentas asignadas</t>
        </is>
      </c>
      <c r="L17" s="7" t="inlineStr">
        <is>
          <t>Pendiente</t>
        </is>
      </c>
      <c r="M17" s="7" t="inlineStr"/>
    </row>
    <row r="18">
      <c r="A18" s="17" t="inlineStr">
        <is>
          <t>K13</t>
        </is>
      </c>
      <c r="B18" s="18" t="inlineStr">
        <is>
          <t>Preparación y parametrización</t>
        </is>
      </c>
      <c r="C18" s="7" t="inlineStr">
        <is>
          <t>Registro de asociados para la muestra</t>
        </is>
      </c>
      <c r="D18" s="7" t="inlineStr">
        <is>
          <t>Crear las personas y el registro de asociados (/asociados/registro) de la muestra del paralelo.</t>
        </is>
      </c>
      <c r="E18" s="7" t="inlineStr">
        <is>
          <t>Equipo Cartera (2 personas, por designar)</t>
        </is>
      </c>
      <c r="F18" s="7" t="inlineStr">
        <is>
          <t>Jorman Copete (IngenIA 365)</t>
        </is>
      </c>
      <c r="G18" s="8" t="n">
        <v>46329</v>
      </c>
      <c r="H18" s="8" t="n">
        <v>46336</v>
      </c>
      <c r="I18" s="17">
        <f>H18-G18+1</f>
        <v/>
      </c>
      <c r="J18" s="7" t="inlineStr">
        <is>
          <t>K01</t>
        </is>
      </c>
      <c r="K18" s="7" t="inlineStr">
        <is>
          <t>Asociados de la muestra creados</t>
        </is>
      </c>
      <c r="L18" s="7" t="inlineStr">
        <is>
          <t>Pendiente</t>
        </is>
      </c>
      <c r="M18" s="7" t="inlineStr">
        <is>
          <t>Volumen supuesto &lt; 500 asociados (por confirmar)</t>
        </is>
      </c>
    </row>
    <row r="19">
      <c r="A19" s="17" t="inlineStr">
        <is>
          <t>K14</t>
        </is>
      </c>
      <c r="B19" s="18" t="inlineStr">
        <is>
          <t>Preparación y parametrización</t>
        </is>
      </c>
      <c r="C19" s="7" t="inlineStr">
        <is>
          <t>Descuento por nómina: configuración</t>
        </is>
      </c>
      <c r="D19" s="7" t="inlineStr"/>
      <c r="E19" s="7" t="inlineStr">
        <is>
          <t>Equipo Cartera (2 personas, por designar)</t>
        </is>
      </c>
      <c r="F19" s="7" t="inlineStr">
        <is>
          <t>Jorman Copete (IngenIA 365)</t>
        </is>
      </c>
      <c r="G19" s="8" t="n">
        <v>46335</v>
      </c>
      <c r="H19" s="8" t="n">
        <v>46336</v>
      </c>
      <c r="I19" s="17">
        <f>H19-G19+1</f>
        <v/>
      </c>
      <c r="J19" s="7" t="inlineStr">
        <is>
          <t>K08, N14 (Nómina)</t>
        </is>
      </c>
      <c r="K19" s="7" t="inlineStr">
        <is>
          <t>Descuentos de cuotas y aportes de empleados asociados vinculados con Nómina</t>
        </is>
      </c>
      <c r="L19" s="7" t="inlineStr">
        <is>
          <t>Pendiente</t>
        </is>
      </c>
      <c r="M19" s="7" t="inlineStr"/>
    </row>
    <row r="20">
      <c r="A20" s="17" t="inlineStr">
        <is>
          <t>K15</t>
        </is>
      </c>
      <c r="B20" s="18" t="inlineStr">
        <is>
          <t>Preparación y parametrización</t>
        </is>
      </c>
      <c r="C20" s="7" t="inlineStr">
        <is>
          <t>Verificación cruzada de la parametrización</t>
        </is>
      </c>
      <c r="D20" s="7" t="inlineStr"/>
      <c r="E20" s="7" t="inlineStr">
        <is>
          <t>Equipo Cartera (2 personas, por designar) + Gestor del proyecto (por designar)</t>
        </is>
      </c>
      <c r="F20" s="7" t="inlineStr">
        <is>
          <t>Jorman Copete (IngenIA 365)</t>
        </is>
      </c>
      <c r="G20" s="8" t="n">
        <v>46335</v>
      </c>
      <c r="H20" s="8" t="n">
        <v>46336</v>
      </c>
      <c r="I20" s="17">
        <f>H20-G20+1</f>
        <v/>
      </c>
      <c r="J20" s="7" t="inlineStr">
        <is>
          <t>K03 a K14</t>
        </is>
      </c>
      <c r="K20" s="7" t="inlineStr">
        <is>
          <t>Lista de chequeo firmada</t>
        </is>
      </c>
      <c r="L20" s="7" t="inlineStr">
        <is>
          <t>Pendiente</t>
        </is>
      </c>
      <c r="M20" s="7" t="inlineStr"/>
    </row>
    <row r="21">
      <c r="A21" s="19" t="inlineStr">
        <is>
          <t>K16</t>
        </is>
      </c>
      <c r="B21" s="18" t="inlineStr">
        <is>
          <t>Preparación y parametrización</t>
        </is>
      </c>
      <c r="C21" s="20" t="inlineStr">
        <is>
          <t>◆ HITO — Fin de parametrización de Cartera</t>
        </is>
      </c>
      <c r="D21" s="7" t="inlineStr"/>
      <c r="E21" s="7" t="inlineStr">
        <is>
          <t>Gestor del proyecto (por designar)</t>
        </is>
      </c>
      <c r="F21" s="7" t="inlineStr">
        <is>
          <t>Jorman Copete (IngenIA 365)</t>
        </is>
      </c>
      <c r="G21" s="8" t="n">
        <v>46336</v>
      </c>
      <c r="H21" s="8" t="n">
        <v>46336</v>
      </c>
      <c r="I21" s="17">
        <f>H21-G21+1</f>
        <v/>
      </c>
      <c r="J21" s="7" t="inlineStr">
        <is>
          <t>K15</t>
        </is>
      </c>
      <c r="K21" s="7" t="inlineStr">
        <is>
          <t>Hito verificado y registrado en el acta de seguimiento</t>
        </is>
      </c>
      <c r="L21" s="7" t="inlineStr">
        <is>
          <t>Pendiente</t>
        </is>
      </c>
      <c r="M21" s="7" t="inlineStr">
        <is>
          <t>Martes 10/11</t>
        </is>
      </c>
    </row>
    <row r="22">
      <c r="A22" s="17" t="inlineStr">
        <is>
          <t>K17</t>
        </is>
      </c>
      <c r="B22" s="21" t="inlineStr">
        <is>
          <t>Capacitación</t>
        </is>
      </c>
      <c r="C22" s="7" t="inlineStr">
        <is>
          <t>Sesión 1 (sáb 24/10): introducción y parámetros (líneas, tasas, códigos, periodicidad, zonas)</t>
        </is>
      </c>
      <c r="D22" s="7" t="inlineStr">
        <is>
          <t>Sesión de capacitación por proceso, con ejercicios sobre los datos reales de la cooperativa.</t>
        </is>
      </c>
      <c r="E22" s="7" t="inlineStr">
        <is>
          <t>Equipo Cartera (2 personas, por designar)</t>
        </is>
      </c>
      <c r="F22" s="7" t="inlineStr">
        <is>
          <t>Jorman Copete (IngenIA 365)</t>
        </is>
      </c>
      <c r="G22" s="8" t="n">
        <v>46319</v>
      </c>
      <c r="H22" s="8" t="n">
        <v>46319</v>
      </c>
      <c r="I22" s="17">
        <f>H22-G22+1</f>
        <v/>
      </c>
      <c r="J22" s="7" t="inlineStr"/>
      <c r="K22" s="7" t="inlineStr">
        <is>
          <t>Asistencia de las 2 personas del módulo; ejercicio guiado completado en el sistema</t>
        </is>
      </c>
      <c r="L22" s="7" t="inlineStr">
        <is>
          <t>Pendiente</t>
        </is>
      </c>
      <c r="M22" s="7" t="inlineStr">
        <is>
          <t>Horario y modalidad: acordado entre las partes</t>
        </is>
      </c>
    </row>
    <row r="23">
      <c r="A23" s="17" t="inlineStr">
        <is>
          <t>K18</t>
        </is>
      </c>
      <c r="B23" s="21" t="inlineStr">
        <is>
          <t>Capacitación</t>
        </is>
      </c>
      <c r="C23" s="7" t="inlineStr">
        <is>
          <t>Sesión 2 (sáb 31/10): asociados, aportes, solicitudes de crédito y aprobación</t>
        </is>
      </c>
      <c r="D23" s="7" t="inlineStr">
        <is>
          <t>Sesión de capacitación por proceso, con ejercicios sobre los datos reales de la cooperativa.</t>
        </is>
      </c>
      <c r="E23" s="7" t="inlineStr">
        <is>
          <t>Equipo Cartera (2 personas, por designar)</t>
        </is>
      </c>
      <c r="F23" s="7" t="inlineStr">
        <is>
          <t>Jorman Copete (IngenIA 365)</t>
        </is>
      </c>
      <c r="G23" s="8" t="n">
        <v>46326</v>
      </c>
      <c r="H23" s="8" t="n">
        <v>46326</v>
      </c>
      <c r="I23" s="17">
        <f>H23-G23+1</f>
        <v/>
      </c>
      <c r="J23" s="7" t="inlineStr"/>
      <c r="K23" s="7" t="inlineStr">
        <is>
          <t>Asistencia de las 2 personas del módulo; ejercicio guiado completado en el sistema</t>
        </is>
      </c>
      <c r="L23" s="7" t="inlineStr">
        <is>
          <t>Pendiente</t>
        </is>
      </c>
      <c r="M23" s="7" t="inlineStr">
        <is>
          <t>Horario y modalidad: acordado entre las partes</t>
        </is>
      </c>
    </row>
    <row r="24">
      <c r="A24" s="17" t="inlineStr">
        <is>
          <t>K19</t>
        </is>
      </c>
      <c r="B24" s="21" t="inlineStr">
        <is>
          <t>Capacitación</t>
        </is>
      </c>
      <c r="C24" s="7" t="inlineStr">
        <is>
          <t>Sesión 3 (sáb 07/11): desembolsos, proyecciones y plan de pagos, recaudos, descuento por nómina</t>
        </is>
      </c>
      <c r="D24" s="7" t="inlineStr">
        <is>
          <t>Sesión de capacitación por proceso, con ejercicios sobre los datos reales de la cooperativa.</t>
        </is>
      </c>
      <c r="E24" s="7" t="inlineStr">
        <is>
          <t>Equipo Cartera (2 personas, por designar)</t>
        </is>
      </c>
      <c r="F24" s="7" t="inlineStr">
        <is>
          <t>Jorman Copete (IngenIA 365)</t>
        </is>
      </c>
      <c r="G24" s="8" t="n">
        <v>46333</v>
      </c>
      <c r="H24" s="8" t="n">
        <v>46333</v>
      </c>
      <c r="I24" s="17">
        <f>H24-G24+1</f>
        <v/>
      </c>
      <c r="J24" s="7" t="inlineStr"/>
      <c r="K24" s="7" t="inlineStr">
        <is>
          <t>Asistencia de las 2 personas del módulo; ejercicio guiado completado en el sistema</t>
        </is>
      </c>
      <c r="L24" s="7" t="inlineStr">
        <is>
          <t>Pendiente</t>
        </is>
      </c>
      <c r="M24" s="7" t="inlineStr">
        <is>
          <t>Horario y modalidad: acordado entre las partes</t>
        </is>
      </c>
    </row>
    <row r="25">
      <c r="A25" s="17" t="inlineStr">
        <is>
          <t>K20</t>
        </is>
      </c>
      <c r="B25" s="21" t="inlineStr">
        <is>
          <t>Capacitación</t>
        </is>
      </c>
      <c r="C25" s="7" t="inlineStr">
        <is>
          <t>Sesión 4 (sáb 14/11): mora y cobro, causación de intereses, calificación de cartera, extractos, cartera por edades e informes</t>
        </is>
      </c>
      <c r="D25" s="7" t="inlineStr">
        <is>
          <t>Sesión de capacitación por proceso, con ejercicios sobre los datos reales de la cooperativa.</t>
        </is>
      </c>
      <c r="E25" s="7" t="inlineStr">
        <is>
          <t>Equipo Cartera (2 personas, por designar)</t>
        </is>
      </c>
      <c r="F25" s="7" t="inlineStr">
        <is>
          <t>Jorman Copete (IngenIA 365)</t>
        </is>
      </c>
      <c r="G25" s="8" t="n">
        <v>46340</v>
      </c>
      <c r="H25" s="8" t="n">
        <v>46340</v>
      </c>
      <c r="I25" s="17">
        <f>H25-G25+1</f>
        <v/>
      </c>
      <c r="J25" s="7" t="inlineStr"/>
      <c r="K25" s="7" t="inlineStr">
        <is>
          <t>Asistencia de las 2 personas del módulo; ejercicio guiado completado en el sistema</t>
        </is>
      </c>
      <c r="L25" s="7" t="inlineStr">
        <is>
          <t>Pendiente</t>
        </is>
      </c>
      <c r="M25" s="7" t="inlineStr">
        <is>
          <t>Horario y modalidad: acordado entre las partes</t>
        </is>
      </c>
    </row>
    <row r="26">
      <c r="A26" s="17" t="inlineStr">
        <is>
          <t>K21</t>
        </is>
      </c>
      <c r="B26" s="21" t="inlineStr">
        <is>
          <t>Capacitación</t>
        </is>
      </c>
      <c r="C26" s="7" t="inlineStr">
        <is>
          <t>Sesión 5 (sáb 21/11): revisión del paralelo y preparación de la carga de saldos</t>
        </is>
      </c>
      <c r="D26" s="7" t="inlineStr">
        <is>
          <t>Sesión de capacitación por proceso, con ejercicios sobre los datos reales de la cooperativa.</t>
        </is>
      </c>
      <c r="E26" s="7" t="inlineStr">
        <is>
          <t>Equipo Cartera (2 personas, por designar)</t>
        </is>
      </c>
      <c r="F26" s="7" t="inlineStr">
        <is>
          <t>Jorman Copete (IngenIA 365)</t>
        </is>
      </c>
      <c r="G26" s="8" t="n">
        <v>46347</v>
      </c>
      <c r="H26" s="8" t="n">
        <v>46347</v>
      </c>
      <c r="I26" s="17">
        <f>H26-G26+1</f>
        <v/>
      </c>
      <c r="J26" s="7" t="inlineStr"/>
      <c r="K26" s="7" t="inlineStr">
        <is>
          <t>Asistencia de las 2 personas del módulo; ejercicio guiado completado en el sistema</t>
        </is>
      </c>
      <c r="L26" s="7" t="inlineStr">
        <is>
          <t>Pendiente</t>
        </is>
      </c>
      <c r="M26" s="7" t="inlineStr">
        <is>
          <t>Horario y modalidad: acordado entre las partes</t>
        </is>
      </c>
    </row>
    <row r="27">
      <c r="A27" s="17" t="inlineStr">
        <is>
          <t>K22</t>
        </is>
      </c>
      <c r="B27" s="21" t="inlineStr">
        <is>
          <t>Capacitación</t>
        </is>
      </c>
      <c r="C27" s="7" t="inlineStr">
        <is>
          <t>Sesión entre semana (mié 04/11, día por acordar): acompañamiento en parametrización</t>
        </is>
      </c>
      <c r="D27" s="7" t="inlineStr">
        <is>
          <t>Sesión de capacitación por proceso, con ejercicios sobre los datos reales de la cooperativa.</t>
        </is>
      </c>
      <c r="E27" s="7" t="inlineStr">
        <is>
          <t>Equipo Cartera (2 personas, por designar)</t>
        </is>
      </c>
      <c r="F27" s="7" t="inlineStr">
        <is>
          <t>Jorman Copete (IngenIA 365)</t>
        </is>
      </c>
      <c r="G27" s="8" t="n">
        <v>46330</v>
      </c>
      <c r="H27" s="8" t="n">
        <v>46330</v>
      </c>
      <c r="I27" s="17">
        <f>H27-G27+1</f>
        <v/>
      </c>
      <c r="J27" s="7" t="inlineStr"/>
      <c r="K27" s="7" t="inlineStr">
        <is>
          <t>Asistencia de las 2 personas del módulo; ejercicio guiado completado en el sistema</t>
        </is>
      </c>
      <c r="L27" s="7" t="inlineStr">
        <is>
          <t>Pendiente</t>
        </is>
      </c>
      <c r="M27" s="7" t="inlineStr">
        <is>
          <t>Horario y modalidad: acordado entre las partes</t>
        </is>
      </c>
    </row>
    <row r="28">
      <c r="A28" s="17" t="inlineStr">
        <is>
          <t>K23</t>
        </is>
      </c>
      <c r="B28" s="22" t="inlineStr">
        <is>
          <t>Paralelo con el aplicativo actual</t>
        </is>
      </c>
      <c r="C28" s="7" t="inlineStr">
        <is>
          <t>Muestra de operaciones del paralelo</t>
        </is>
      </c>
      <c r="D28" s="7" t="inlineStr">
        <is>
          <t>Solicitud → aprobación → desembolso de un crédito por línea; recaudos de cuotas (caja y descuento por nómina); abonos extraordinarios; recaudo de aportes; un crédito en mora; un retiro de asociado.</t>
        </is>
      </c>
      <c r="E28" s="7" t="inlineStr">
        <is>
          <t>Equipo Cartera (2 personas, por designar) + Gestor del proyecto (por designar)</t>
        </is>
      </c>
      <c r="F28" s="7" t="inlineStr">
        <is>
          <t>Jorman Copete (IngenIA 365)</t>
        </is>
      </c>
      <c r="G28" s="8" t="n">
        <v>46337</v>
      </c>
      <c r="H28" s="8" t="n">
        <v>46338</v>
      </c>
      <c r="I28" s="17">
        <f>H28-G28+1</f>
        <v/>
      </c>
      <c r="J28" s="7" t="inlineStr">
        <is>
          <t>K16</t>
        </is>
      </c>
      <c r="K28" s="7" t="inlineStr">
        <is>
          <t>Lista de la muestra aprobada</t>
        </is>
      </c>
      <c r="L28" s="7" t="inlineStr">
        <is>
          <t>Pendiente</t>
        </is>
      </c>
      <c r="M28" s="7" t="inlineStr">
        <is>
          <t>No se replica toda la operación: sólo las transacciones más importantes y las que cubren todos los casos de la entidad, para interiorizar el manejo y detectar inconsistencias antes de la salida en vivo</t>
        </is>
      </c>
    </row>
    <row r="29">
      <c r="A29" s="17" t="inlineStr">
        <is>
          <t>K24</t>
        </is>
      </c>
      <c r="B29" s="22" t="inlineStr">
        <is>
          <t>Paralelo con el aplicativo actual</t>
        </is>
      </c>
      <c r="C29" s="7" t="inlineStr">
        <is>
          <t>Ciclo 1: registrar las operaciones de la muestra (11 al 20/11)</t>
        </is>
      </c>
      <c r="D29" s="7" t="inlineStr"/>
      <c r="E29" s="7" t="inlineStr">
        <is>
          <t>Equipo Cartera (2 personas, por designar)</t>
        </is>
      </c>
      <c r="F29" s="7" t="inlineStr">
        <is>
          <t>Jorman Copete (IngenIA 365)</t>
        </is>
      </c>
      <c r="G29" s="8" t="n">
        <v>46337</v>
      </c>
      <c r="H29" s="8" t="n">
        <v>46346</v>
      </c>
      <c r="I29" s="17">
        <f>H29-G29+1</f>
        <v/>
      </c>
      <c r="J29" s="7" t="inlineStr">
        <is>
          <t>K23</t>
        </is>
      </c>
      <c r="K29" s="7" t="inlineStr">
        <is>
          <t>Operaciones registradas</t>
        </is>
      </c>
      <c r="L29" s="7" t="inlineStr">
        <is>
          <t>Pendiente</t>
        </is>
      </c>
      <c r="M29" s="7" t="inlineStr">
        <is>
          <t>El 16/11 es festivo</t>
        </is>
      </c>
    </row>
    <row r="30">
      <c r="A30" s="17" t="inlineStr">
        <is>
          <t>K25</t>
        </is>
      </c>
      <c r="B30" s="22" t="inlineStr">
        <is>
          <t>Paralelo con el aplicativo actual</t>
        </is>
      </c>
      <c r="C30" s="7" t="inlineStr">
        <is>
          <t>Ciclo 1: comparar con el actual y registrar diferencias</t>
        </is>
      </c>
      <c r="D30" s="7" t="inlineStr"/>
      <c r="E30" s="7" t="inlineStr">
        <is>
          <t>Equipo Cartera (2 personas, por designar)</t>
        </is>
      </c>
      <c r="F30" s="7" t="inlineStr">
        <is>
          <t>Jorman Copete (IngenIA 365)</t>
        </is>
      </c>
      <c r="G30" s="8" t="n">
        <v>46346</v>
      </c>
      <c r="H30" s="8" t="n">
        <v>46347</v>
      </c>
      <c r="I30" s="17">
        <f>H30-G30+1</f>
        <v/>
      </c>
      <c r="J30" s="7" t="inlineStr">
        <is>
          <t>K24</t>
        </is>
      </c>
      <c r="K30" s="7" t="inlineStr">
        <is>
          <t>Saldos, cuotas, intereses y proyecciones iguales o con diferencia justificada</t>
        </is>
      </c>
      <c r="L30" s="7" t="inlineStr">
        <is>
          <t>Pendiente</t>
        </is>
      </c>
      <c r="M30" s="7" t="inlineStr"/>
    </row>
    <row r="31">
      <c r="A31" s="17" t="inlineStr">
        <is>
          <t>K26</t>
        </is>
      </c>
      <c r="B31" s="22" t="inlineStr">
        <is>
          <t>Paralelo con el aplicativo actual</t>
        </is>
      </c>
      <c r="C31" s="7" t="inlineStr">
        <is>
          <t>Ciclo 2: registrar las operaciones de la muestra (23 al 27/11)</t>
        </is>
      </c>
      <c r="D31" s="7" t="inlineStr"/>
      <c r="E31" s="7" t="inlineStr">
        <is>
          <t>Equipo Cartera (2 personas, por designar)</t>
        </is>
      </c>
      <c r="F31" s="7" t="inlineStr">
        <is>
          <t>Jorman Copete (IngenIA 365)</t>
        </is>
      </c>
      <c r="G31" s="8" t="n">
        <v>46349</v>
      </c>
      <c r="H31" s="8" t="n">
        <v>46353</v>
      </c>
      <c r="I31" s="17">
        <f>H31-G31+1</f>
        <v/>
      </c>
      <c r="J31" s="7" t="inlineStr">
        <is>
          <t>K25</t>
        </is>
      </c>
      <c r="K31" s="7" t="inlineStr">
        <is>
          <t>Operaciones registradas</t>
        </is>
      </c>
      <c r="L31" s="7" t="inlineStr">
        <is>
          <t>Pendiente</t>
        </is>
      </c>
      <c r="M31" s="7" t="inlineStr"/>
    </row>
    <row r="32">
      <c r="A32" s="17" t="inlineStr">
        <is>
          <t>K27</t>
        </is>
      </c>
      <c r="B32" s="22" t="inlineStr">
        <is>
          <t>Paralelo con el aplicativo actual</t>
        </is>
      </c>
      <c r="C32" s="7" t="inlineStr">
        <is>
          <t>Ciclo 2: causación de intereses y calificación de cartera al corte</t>
        </is>
      </c>
      <c r="D32" s="7" t="inlineStr"/>
      <c r="E32" s="7" t="inlineStr">
        <is>
          <t>Equipo Cartera (2 personas, por designar)</t>
        </is>
      </c>
      <c r="F32" s="7" t="inlineStr">
        <is>
          <t>Jorman Copete (IngenIA 365)</t>
        </is>
      </c>
      <c r="G32" s="8" t="n">
        <v>46352</v>
      </c>
      <c r="H32" s="8" t="n">
        <v>46353</v>
      </c>
      <c r="I32" s="17">
        <f>H32-G32+1</f>
        <v/>
      </c>
      <c r="J32" s="7" t="inlineStr">
        <is>
          <t>K26</t>
        </is>
      </c>
      <c r="K32" s="7" t="inlineStr">
        <is>
          <t>Causación y calificación de la muestra ejecutadas y comparadas con el actual</t>
        </is>
      </c>
      <c r="L32" s="7" t="inlineStr">
        <is>
          <t>Pendiente</t>
        </is>
      </c>
      <c r="M32" s="7" t="inlineStr"/>
    </row>
    <row r="33">
      <c r="A33" s="17" t="inlineStr">
        <is>
          <t>K28</t>
        </is>
      </c>
      <c r="B33" s="22" t="inlineStr">
        <is>
          <t>Paralelo con el aplicativo actual</t>
        </is>
      </c>
      <c r="C33" s="7" t="inlineStr">
        <is>
          <t>Ciclo 2: comparar y registrar diferencias; cartera por edades y extractos</t>
        </is>
      </c>
      <c r="D33" s="7" t="inlineStr"/>
      <c r="E33" s="7" t="inlineStr">
        <is>
          <t>Equipo Cartera (2 personas, por designar)</t>
        </is>
      </c>
      <c r="F33" s="7" t="inlineStr">
        <is>
          <t>Jorman Copete (IngenIA 365)</t>
        </is>
      </c>
      <c r="G33" s="8" t="n">
        <v>46353</v>
      </c>
      <c r="H33" s="8" t="n">
        <v>46354</v>
      </c>
      <c r="I33" s="17">
        <f>H33-G33+1</f>
        <v/>
      </c>
      <c r="J33" s="7" t="inlineStr">
        <is>
          <t>K27</t>
        </is>
      </c>
      <c r="K33" s="7" t="inlineStr">
        <is>
          <t>Cartera por edades y extractos de la muestra iguales al actual</t>
        </is>
      </c>
      <c r="L33" s="7" t="inlineStr">
        <is>
          <t>Pendiente</t>
        </is>
      </c>
      <c r="M33" s="7" t="inlineStr"/>
    </row>
    <row r="34">
      <c r="A34" s="17" t="inlineStr">
        <is>
          <t>K29</t>
        </is>
      </c>
      <c r="B34" s="22" t="inlineStr">
        <is>
          <t>Paralelo con el aplicativo actual</t>
        </is>
      </c>
      <c r="C34" s="7" t="inlineStr">
        <is>
          <t>Ajustes de parametrización derivados del paralelo</t>
        </is>
      </c>
      <c r="D34" s="7" t="inlineStr"/>
      <c r="E34" s="7" t="inlineStr">
        <is>
          <t>Equipo Cartera (2 personas, por designar)</t>
        </is>
      </c>
      <c r="F34" s="7" t="inlineStr">
        <is>
          <t>Jorman Copete (IngenIA 365)</t>
        </is>
      </c>
      <c r="G34" s="8" t="n">
        <v>46347</v>
      </c>
      <c r="H34" s="8" t="n">
        <v>46353</v>
      </c>
      <c r="I34" s="17">
        <f>H34-G34+1</f>
        <v/>
      </c>
      <c r="J34" s="7" t="inlineStr">
        <is>
          <t>K25</t>
        </is>
      </c>
      <c r="K34" s="7" t="inlineStr">
        <is>
          <t>Cada diferencia cerrada con ajuste o justificación</t>
        </is>
      </c>
      <c r="L34" s="7" t="inlineStr">
        <is>
          <t>Pendiente</t>
        </is>
      </c>
      <c r="M34" s="7" t="inlineStr"/>
    </row>
    <row r="35">
      <c r="A35" s="17" t="inlineStr">
        <is>
          <t>K30</t>
        </is>
      </c>
      <c r="B35" s="22" t="inlineStr">
        <is>
          <t>Paralelo con el aplicativo actual</t>
        </is>
      </c>
      <c r="C35" s="7" t="inlineStr">
        <is>
          <t>Contabilización de cartera y aportes (comprobante resumen hasta E3)</t>
        </is>
      </c>
      <c r="D35" s="7" t="inlineStr"/>
      <c r="E35" s="7" t="inlineStr">
        <is>
          <t>Equipo Cartera (2 personas, por designar) + Contadora Rafaela Lastra España</t>
        </is>
      </c>
      <c r="F35" s="7" t="inlineStr">
        <is>
          <t>Jorman Copete (IngenIA 365)</t>
        </is>
      </c>
      <c r="G35" s="8" t="n">
        <v>46343</v>
      </c>
      <c r="H35" s="8" t="n">
        <v>46353</v>
      </c>
      <c r="I35" s="17">
        <f>H35-G35+1</f>
        <v/>
      </c>
      <c r="J35" s="7" t="inlineStr">
        <is>
          <t>C35 (Contabilidad)</t>
        </is>
      </c>
      <c r="K35" s="7" t="inlineStr">
        <is>
          <t>Comprobante resumen de la muestra contabilizado</t>
        </is>
      </c>
      <c r="L35" s="7" t="inlineStr">
        <is>
          <t>Pendiente</t>
        </is>
      </c>
      <c r="M35" s="7" t="inlineStr"/>
    </row>
    <row r="36">
      <c r="A36" s="17" t="inlineStr">
        <is>
          <t>K31</t>
        </is>
      </c>
      <c r="B36" s="22" t="inlineStr">
        <is>
          <t>Paralelo con el aplicativo actual</t>
        </is>
      </c>
      <c r="C36" s="7" t="inlineStr">
        <is>
          <t>Completar el registro del 100 % de asociados</t>
        </is>
      </c>
      <c r="D36" s="7" t="inlineStr"/>
      <c r="E36" s="7" t="inlineStr">
        <is>
          <t>Equipo Cartera (2 personas, por designar)</t>
        </is>
      </c>
      <c r="F36" s="7" t="inlineStr">
        <is>
          <t>Jorman Copete (IngenIA 365)</t>
        </is>
      </c>
      <c r="G36" s="8" t="n">
        <v>46337</v>
      </c>
      <c r="H36" s="8" t="n">
        <v>46353</v>
      </c>
      <c r="I36" s="17">
        <f>H36-G36+1</f>
        <v/>
      </c>
      <c r="J36" s="7" t="inlineStr">
        <is>
          <t>K13</t>
        </is>
      </c>
      <c r="K36" s="7" t="inlineStr">
        <is>
          <t>Todos los asociados activos con persona y registro creados; conteo igual al actual</t>
        </is>
      </c>
      <c r="L36" s="7" t="inlineStr">
        <is>
          <t>Pendiente</t>
        </is>
      </c>
      <c r="M36" s="7" t="inlineStr"/>
    </row>
    <row r="37">
      <c r="A37" s="17" t="inlineStr">
        <is>
          <t>K32</t>
        </is>
      </c>
      <c r="B37" s="23" t="inlineStr">
        <is>
          <t>Cierre y salida en vivo</t>
        </is>
      </c>
      <c r="C37" s="7" t="inlineStr">
        <is>
          <t>Listado de créditos vigentes y aportes al 27/11 desde el actual</t>
        </is>
      </c>
      <c r="D37" s="7" t="inlineStr">
        <is>
          <t>Por asociado: saldo de capital, intereses causados, cuotas pendientes, días de mora, calificación y saldo de aportes.</t>
        </is>
      </c>
      <c r="E37" s="7" t="inlineStr">
        <is>
          <t>Equipo Cartera (2 personas, por designar)</t>
        </is>
      </c>
      <c r="F37" s="7" t="inlineStr">
        <is>
          <t>Jorman Copete (IngenIA 365)</t>
        </is>
      </c>
      <c r="G37" s="8" t="n">
        <v>46351</v>
      </c>
      <c r="H37" s="8" t="n">
        <v>46353</v>
      </c>
      <c r="I37" s="17">
        <f>H37-G37+1</f>
        <v/>
      </c>
      <c r="J37" s="7" t="inlineStr"/>
      <c r="K37" s="7" t="inlineStr">
        <is>
          <t>Listado exportado y firmado</t>
        </is>
      </c>
      <c r="L37" s="7" t="inlineStr">
        <is>
          <t>Pendiente</t>
        </is>
      </c>
      <c r="M37" s="7" t="inlineStr"/>
    </row>
    <row r="38">
      <c r="A38" s="17" t="inlineStr">
        <is>
          <t>K33</t>
        </is>
      </c>
      <c r="B38" s="23" t="inlineStr">
        <is>
          <t>Cierre y salida en vivo</t>
        </is>
      </c>
      <c r="C38" s="7" t="inlineStr">
        <is>
          <t>Precarga de créditos vigentes y aportes con saldos al 27/11</t>
        </is>
      </c>
      <c r="D38" s="7" t="inlineStr">
        <is>
          <t>Digitar en el nuevo sistema los créditos vigentes y los aportes de cada asociado (2 personas).</t>
        </is>
      </c>
      <c r="E38" s="7" t="inlineStr">
        <is>
          <t>Equipo Cartera (2 personas, por designar)</t>
        </is>
      </c>
      <c r="F38" s="7" t="inlineStr">
        <is>
          <t>Jorman Copete (IngenIA 365)</t>
        </is>
      </c>
      <c r="G38" s="8" t="n">
        <v>46354</v>
      </c>
      <c r="H38" s="8" t="n">
        <v>46356</v>
      </c>
      <c r="I38" s="17">
        <f>H38-G38+1</f>
        <v/>
      </c>
      <c r="J38" s="7" t="inlineStr">
        <is>
          <t>K31, K32</t>
        </is>
      </c>
      <c r="K38" s="7" t="inlineStr">
        <is>
          <t>Créditos y aportes digitados (supuesto &lt; 300 créditos)</t>
        </is>
      </c>
      <c r="L38" s="7" t="inlineStr">
        <is>
          <t>Pendiente</t>
        </is>
      </c>
      <c r="M38" s="7" t="inlineStr">
        <is>
          <t>Si el volumen es mayor, importación asistida por IngenIA</t>
        </is>
      </c>
    </row>
    <row r="39">
      <c r="A39" s="17" t="inlineStr">
        <is>
          <t>K34</t>
        </is>
      </c>
      <c r="B39" s="23" t="inlineStr">
        <is>
          <t>Cierre y salida en vivo</t>
        </is>
      </c>
      <c r="C39" s="7" t="inlineStr">
        <is>
          <t>Ajuste con los movimientos del 28 al 30/11 y conciliación al 30/11</t>
        </is>
      </c>
      <c r="D39" s="7" t="inlineStr">
        <is>
          <t>Registrar los pagos y desembolsos del 28 al 30/11; cruzar la cartera por edades y el total de aportes con el actual y con el saldo contable.</t>
        </is>
      </c>
      <c r="E39" s="7" t="inlineStr">
        <is>
          <t>Equipo Cartera (2 personas, por designar) + Contadora Rafaela Lastra España</t>
        </is>
      </c>
      <c r="F39" s="7" t="inlineStr">
        <is>
          <t>Jorman Copete (IngenIA 365)</t>
        </is>
      </c>
      <c r="G39" s="8" t="n">
        <v>46357</v>
      </c>
      <c r="H39" s="8" t="n">
        <v>46358</v>
      </c>
      <c r="I39" s="17">
        <f>H39-G39+1</f>
        <v/>
      </c>
      <c r="J39" s="7" t="inlineStr">
        <is>
          <t>K33</t>
        </is>
      </c>
      <c r="K39" s="7" t="inlineStr">
        <is>
          <t>Cartera por edades y total de aportes iguales al actual y al saldo contable al 30/11</t>
        </is>
      </c>
      <c r="L39" s="7" t="inlineStr">
        <is>
          <t>Pendiente</t>
        </is>
      </c>
      <c r="M39" s="7" t="inlineStr"/>
    </row>
    <row r="40">
      <c r="A40" s="19" t="inlineStr">
        <is>
          <t>K35</t>
        </is>
      </c>
      <c r="B40" s="23" t="inlineStr">
        <is>
          <t>Cierre y salida en vivo</t>
        </is>
      </c>
      <c r="C40" s="20" t="inlineStr">
        <is>
          <t>◆ HITO — Saldos de cartera y aportes al 30/11 conciliados</t>
        </is>
      </c>
      <c r="D40" s="7" t="inlineStr"/>
      <c r="E40" s="7" t="inlineStr">
        <is>
          <t>Contadora Rafaela Lastra España</t>
        </is>
      </c>
      <c r="F40" s="7" t="inlineStr">
        <is>
          <t>Jorman Copete (IngenIA 365)</t>
        </is>
      </c>
      <c r="G40" s="8" t="n">
        <v>46358</v>
      </c>
      <c r="H40" s="8" t="n">
        <v>46358</v>
      </c>
      <c r="I40" s="17">
        <f>H40-G40+1</f>
        <v/>
      </c>
      <c r="J40" s="7" t="inlineStr">
        <is>
          <t>K34</t>
        </is>
      </c>
      <c r="K40" s="7" t="inlineStr">
        <is>
          <t>Hito verificado y registrado en el acta de seguimiento</t>
        </is>
      </c>
      <c r="L40" s="7" t="inlineStr">
        <is>
          <t>Pendiente</t>
        </is>
      </c>
      <c r="M40" s="7" t="inlineStr"/>
    </row>
    <row r="41">
      <c r="A41" s="17" t="inlineStr">
        <is>
          <t>K36</t>
        </is>
      </c>
      <c r="B41" s="23" t="inlineStr">
        <is>
          <t>Cierre y salida en vivo</t>
        </is>
      </c>
      <c r="C41" s="7" t="inlineStr">
        <is>
          <t>Respaldo y plan de reversa (cartera)</t>
        </is>
      </c>
      <c r="D41" s="7" t="inlineStr"/>
      <c r="E41" s="7" t="inlineStr">
        <is>
          <t>Gestor del proyecto (por designar) + Equipo Cartera (2 personas, por designar)</t>
        </is>
      </c>
      <c r="F41" s="7" t="inlineStr">
        <is>
          <t>Jorman Copete (IngenIA 365)</t>
        </is>
      </c>
      <c r="G41" s="8" t="n">
        <v>46353</v>
      </c>
      <c r="H41" s="8" t="n">
        <v>46356</v>
      </c>
      <c r="I41" s="17">
        <f>H41-G41+1</f>
        <v/>
      </c>
      <c r="J41" s="7" t="inlineStr"/>
      <c r="K41" s="7" t="inlineStr">
        <is>
          <t>Informes de cartera y aportes 2026 exportados; procedimiento de reversa escrito</t>
        </is>
      </c>
      <c r="L41" s="7" t="inlineStr">
        <is>
          <t>Pendiente</t>
        </is>
      </c>
      <c r="M41" s="7" t="inlineStr"/>
    </row>
    <row r="42">
      <c r="A42" s="19" t="inlineStr">
        <is>
          <t>K37</t>
        </is>
      </c>
      <c r="B42" s="23" t="inlineStr">
        <is>
          <t>Cierre y salida en vivo</t>
        </is>
      </c>
      <c r="C42" s="20" t="inlineStr">
        <is>
          <t>◆ HITO — Corte del paralelo</t>
        </is>
      </c>
      <c r="D42" s="7" t="inlineStr"/>
      <c r="E42" s="7" t="inlineStr">
        <is>
          <t>Gestor del proyecto (por designar)</t>
        </is>
      </c>
      <c r="F42" s="7" t="inlineStr">
        <is>
          <t>Jorman Copete (IngenIA 365)</t>
        </is>
      </c>
      <c r="G42" s="8" t="n">
        <v>46354</v>
      </c>
      <c r="H42" s="8" t="n">
        <v>46354</v>
      </c>
      <c r="I42" s="17">
        <f>H42-G42+1</f>
        <v/>
      </c>
      <c r="J42" s="7" t="inlineStr">
        <is>
          <t>K28</t>
        </is>
      </c>
      <c r="K42" s="7" t="inlineStr">
        <is>
          <t>Hito verificado y registrado en el acta de seguimiento</t>
        </is>
      </c>
      <c r="L42" s="7" t="inlineStr">
        <is>
          <t>Pendiente</t>
        </is>
      </c>
      <c r="M42" s="7" t="inlineStr"/>
    </row>
    <row r="43">
      <c r="A43" s="19" t="inlineStr">
        <is>
          <t>K38</t>
        </is>
      </c>
      <c r="B43" s="23" t="inlineStr">
        <is>
          <t>Cierre y salida en vivo</t>
        </is>
      </c>
      <c r="C43" s="20" t="inlineStr">
        <is>
          <t>◆ HITO — Salida en vivo</t>
        </is>
      </c>
      <c r="D43" s="7" t="inlineStr"/>
      <c r="E43" s="7" t="inlineStr">
        <is>
          <t>Gestor del proyecto (por designar)</t>
        </is>
      </c>
      <c r="F43" s="7" t="inlineStr">
        <is>
          <t>Jorman Copete (IngenIA 365)</t>
        </is>
      </c>
      <c r="G43" s="8" t="n">
        <v>46357</v>
      </c>
      <c r="H43" s="8" t="n">
        <v>46357</v>
      </c>
      <c r="I43" s="17">
        <f>H43-G43+1</f>
        <v/>
      </c>
      <c r="J43" s="7" t="inlineStr"/>
      <c r="K43" s="7" t="inlineStr">
        <is>
          <t>Hito verificado y registrado en el acta de seguimiento</t>
        </is>
      </c>
      <c r="L43" s="7" t="inlineStr">
        <is>
          <t>Pendiente</t>
        </is>
      </c>
      <c r="M43" s="7" t="inlineStr"/>
    </row>
    <row r="44">
      <c r="A44" s="17" t="inlineStr">
        <is>
          <t>K39</t>
        </is>
      </c>
      <c r="B44" s="23" t="inlineStr">
        <is>
          <t>Cierre y salida en vivo</t>
        </is>
      </c>
      <c r="C44" s="7" t="inlineStr">
        <is>
          <t>Acompañamiento de la primera semana en vivo</t>
        </is>
      </c>
      <c r="D44" s="7" t="inlineStr"/>
      <c r="E44" s="7" t="inlineStr">
        <is>
          <t>Equipo Cartera (2 personas, por designar)</t>
        </is>
      </c>
      <c r="F44" s="7" t="inlineStr">
        <is>
          <t>Jorman Copete (IngenIA 365)</t>
        </is>
      </c>
      <c r="G44" s="8" t="n">
        <v>46357</v>
      </c>
      <c r="H44" s="8" t="n">
        <v>46360</v>
      </c>
      <c r="I44" s="17">
        <f>H44-G44+1</f>
        <v/>
      </c>
      <c r="J44" s="7" t="inlineStr"/>
      <c r="K44" s="7" t="inlineStr">
        <is>
          <t>Recaudos y desembolsos de diciembre sólo en el nuevo; incidencias resueltas o escaladas</t>
        </is>
      </c>
      <c r="L44" s="7" t="inlineStr">
        <is>
          <t>Pendiente</t>
        </is>
      </c>
      <c r="M44" s="7" t="inlineStr"/>
    </row>
  </sheetData>
  <autoFilter ref="A5:M44"/>
  <conditionalFormatting sqref="L6:L44">
    <cfRule type="cellIs" priority="1" operator="equal" dxfId="0">
      <formula>"Terminada"</formula>
    </cfRule>
    <cfRule type="cellIs" priority="2" operator="equal" dxfId="1">
      <formula>"En curso"</formula>
    </cfRule>
    <cfRule type="cellIs" priority="3" operator="equal" dxfId="2">
      <formula>"Bloqueada"</formula>
    </cfRule>
    <cfRule type="cellIs" priority="4" operator="equal" dxfId="3">
      <formula>"Por confirmar"</formula>
    </cfRule>
  </conditionalFormatting>
  <dataValidations count="1">
    <dataValidation sqref="L6:L44" showDropDown="0" showInputMessage="0" showErrorMessage="0" allowBlank="1" errorTitle="Estado" error="Elija un estado de la lista" type="list">
      <formula1>"Pendiente,En curso,Terminada,Bloqueada,Por confirmar"</formula1>
    </dataValidation>
  </dataValidations>
  <pageMargins left="0.75" right="0.75" top="1" bottom="1" header="0.5" footer="0.5"/>
  <pageSetup orientation="landscape" paperSize="5" fitToHeight="0" fitToWidth="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A1:W200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46" customWidth="1" min="4" max="4"/>
    <col width="32" customWidth="1" min="5" max="5"/>
    <col width="22" customWidth="1" min="6" max="6"/>
    <col width="12" customWidth="1" min="7" max="7"/>
    <col width="12" customWidth="1" min="8" max="8"/>
    <col width="9" customWidth="1" min="9" max="9"/>
    <col width="6" customWidth="1" min="10" max="10"/>
    <col width="14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</cols>
  <sheetData>
    <row r="1">
      <c r="A1" s="1" t="inlineStr">
        <is>
          <t>Consolidado — Plan de implementación IngenIA365ERP · COOFLOPAL</t>
        </is>
      </c>
    </row>
    <row r="2">
      <c r="A2" s="16" t="inlineStr">
        <is>
          <t>Todas las tareas ordenadas por fecha de inicio. Cronograma semanal: cada columna es la semana que empieza el sábado indicado (sábado a viernes), del 12/09 al 04/12/2026. El sombreado se calcula con formato condicional a partir de las fechas: si cambia una fecha, el cronograma se actualiza. Corte del paralelo 28/11 · salida en vivo 01/12/2026.</t>
        </is>
      </c>
    </row>
    <row r="3" ht="30" customHeight="1">
      <c r="B3" s="9" t="inlineStr">
        <is>
          <t>Leyenda de fases:</t>
        </is>
      </c>
      <c r="C3" s="10" t="inlineStr">
        <is>
          <t>Preparación y parametrización</t>
        </is>
      </c>
      <c r="D3" s="11" t="inlineStr">
        <is>
          <t>Capacitación</t>
        </is>
      </c>
      <c r="E3" s="12" t="inlineStr">
        <is>
          <t>Paralelo con el aplicativo actual</t>
        </is>
      </c>
      <c r="F3" s="13" t="inlineStr">
        <is>
          <t>Cierre y salida en vivo</t>
        </is>
      </c>
      <c r="G3" s="14" t="inlineStr">
        <is>
          <t>Gestión del proyecto</t>
        </is>
      </c>
      <c r="H3" s="15" t="inlineStr">
        <is>
          <t>◆ Hito</t>
        </is>
      </c>
    </row>
    <row r="5">
      <c r="K5" s="9" t="inlineStr">
        <is>
          <t>Semana →</t>
        </is>
      </c>
      <c r="L5" s="6" t="inlineStr">
        <is>
          <t>S1</t>
        </is>
      </c>
      <c r="M5" s="6" t="inlineStr">
        <is>
          <t>S2</t>
        </is>
      </c>
      <c r="N5" s="6" t="inlineStr">
        <is>
          <t>S3</t>
        </is>
      </c>
      <c r="O5" s="6" t="inlineStr">
        <is>
          <t>S4</t>
        </is>
      </c>
      <c r="P5" s="6" t="inlineStr">
        <is>
          <t>S5</t>
        </is>
      </c>
      <c r="Q5" s="6" t="inlineStr">
        <is>
          <t>S6</t>
        </is>
      </c>
      <c r="R5" s="6" t="inlineStr">
        <is>
          <t>S7</t>
        </is>
      </c>
      <c r="S5" s="6" t="inlineStr">
        <is>
          <t>S8</t>
        </is>
      </c>
      <c r="T5" s="6" t="inlineStr">
        <is>
          <t>S9</t>
        </is>
      </c>
      <c r="U5" s="6" t="inlineStr">
        <is>
          <t>S10</t>
        </is>
      </c>
      <c r="V5" s="6" t="inlineStr">
        <is>
          <t>S11</t>
        </is>
      </c>
      <c r="W5" s="6" t="inlineStr">
        <is>
          <t>S12</t>
        </is>
      </c>
    </row>
    <row r="6" ht="32" customHeight="1">
      <c r="A6" s="6" t="inlineStr">
        <is>
          <t>Nº</t>
        </is>
      </c>
      <c r="B6" s="6" t="inlineStr">
        <is>
          <t>Módulo</t>
        </is>
      </c>
      <c r="C6" s="6" t="inlineStr">
        <is>
          <t>Fase</t>
        </is>
      </c>
      <c r="D6" s="6" t="inlineStr">
        <is>
          <t>Tarea</t>
        </is>
      </c>
      <c r="E6" s="6" t="inlineStr">
        <is>
          <t>Responsable (cooperativa)</t>
        </is>
      </c>
      <c r="F6" s="6" t="inlineStr">
        <is>
          <t>Apoyo IngenIA</t>
        </is>
      </c>
      <c r="G6" s="6" t="inlineStr">
        <is>
          <t>Fecha inicio</t>
        </is>
      </c>
      <c r="H6" s="6" t="inlineStr">
        <is>
          <t>Fecha fin</t>
        </is>
      </c>
      <c r="I6" s="6" t="inlineStr">
        <is>
          <t>Duración</t>
        </is>
      </c>
      <c r="J6" s="6" t="inlineStr">
        <is>
          <t>Hito</t>
        </is>
      </c>
      <c r="K6" s="6" t="inlineStr">
        <is>
          <t>Estado</t>
        </is>
      </c>
      <c r="L6" s="24" t="n">
        <v>46277</v>
      </c>
      <c r="M6" s="24" t="n">
        <v>46284</v>
      </c>
      <c r="N6" s="24" t="n">
        <v>46291</v>
      </c>
      <c r="O6" s="24" t="n">
        <v>46298</v>
      </c>
      <c r="P6" s="24" t="n">
        <v>46305</v>
      </c>
      <c r="Q6" s="24" t="n">
        <v>46312</v>
      </c>
      <c r="R6" s="24" t="n">
        <v>46319</v>
      </c>
      <c r="S6" s="24" t="n">
        <v>46326</v>
      </c>
      <c r="T6" s="24" t="n">
        <v>46333</v>
      </c>
      <c r="U6" s="24" t="n">
        <v>46340</v>
      </c>
      <c r="V6" s="24" t="n">
        <v>46347</v>
      </c>
      <c r="W6" s="24" t="n">
        <v>46354</v>
      </c>
    </row>
    <row r="7">
      <c r="A7" s="17" t="inlineStr">
        <is>
          <t>N01</t>
        </is>
      </c>
      <c r="B7" s="7" t="inlineStr">
        <is>
          <t>Nómina</t>
        </is>
      </c>
      <c r="C7" s="18" t="inlineStr">
        <is>
          <t>Preparación y parametrización</t>
        </is>
      </c>
      <c r="D7" s="7" t="inlineStr">
        <is>
          <t>Acceso al sistema y recorrido inicial</t>
        </is>
      </c>
      <c r="E7" s="7" t="inlineStr">
        <is>
          <t>Equipo Nómina (2 personas, por designar)</t>
        </is>
      </c>
      <c r="F7" s="7" t="inlineStr">
        <is>
          <t>Jorman Copete (IngenIA 365)</t>
        </is>
      </c>
      <c r="G7" s="8" t="n">
        <v>46277</v>
      </c>
      <c r="H7" s="8" t="n">
        <v>46277</v>
      </c>
      <c r="I7" s="17">
        <f>H7-G7+1</f>
        <v/>
      </c>
      <c r="J7" s="17" t="inlineStr"/>
      <c r="K7" s="7" t="inlineStr">
        <is>
          <t>Por confirmar</t>
        </is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</row>
    <row r="8">
      <c r="A8" s="17" t="inlineStr">
        <is>
          <t>N15</t>
        </is>
      </c>
      <c r="B8" s="7" t="inlineStr">
        <is>
          <t>Nómina</t>
        </is>
      </c>
      <c r="C8" s="21" t="inlineStr">
        <is>
          <t>Capacitación</t>
        </is>
      </c>
      <c r="D8" s="7" t="inlineStr">
        <is>
          <t>Sesión 1 (sáb 12/09): introducción, planes y conceptos</t>
        </is>
      </c>
      <c r="E8" s="7" t="inlineStr">
        <is>
          <t>Equipo Nómina (2 personas, por designar)</t>
        </is>
      </c>
      <c r="F8" s="7" t="inlineStr">
        <is>
          <t>Jorman Copete (IngenIA 365)</t>
        </is>
      </c>
      <c r="G8" s="8" t="n">
        <v>46277</v>
      </c>
      <c r="H8" s="8" t="n">
        <v>46277</v>
      </c>
      <c r="I8" s="17">
        <f>H8-G8+1</f>
        <v/>
      </c>
      <c r="J8" s="17" t="inlineStr"/>
      <c r="K8" s="7" t="inlineStr">
        <is>
          <t>Por confirmar</t>
        </is>
      </c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</row>
    <row r="9">
      <c r="A9" s="17" t="inlineStr">
        <is>
          <t>N02</t>
        </is>
      </c>
      <c r="B9" s="7" t="inlineStr">
        <is>
          <t>Nómina</t>
        </is>
      </c>
      <c r="C9" s="18" t="inlineStr">
        <is>
          <t>Preparación y parametrización</t>
        </is>
      </c>
      <c r="D9" s="7" t="inlineStr">
        <is>
          <t>Plan de nómina quincenal</t>
        </is>
      </c>
      <c r="E9" s="7" t="inlineStr">
        <is>
          <t>Equipo Nómina (2 personas, por designar)</t>
        </is>
      </c>
      <c r="F9" s="7" t="inlineStr">
        <is>
          <t>Jorman Copete (IngenIA 365)</t>
        </is>
      </c>
      <c r="G9" s="8" t="n">
        <v>46279</v>
      </c>
      <c r="H9" s="8" t="n">
        <v>46281</v>
      </c>
      <c r="I9" s="17">
        <f>H9-G9+1</f>
        <v/>
      </c>
      <c r="J9" s="17" t="inlineStr"/>
      <c r="K9" s="7" t="inlineStr">
        <is>
          <t>Por confirmar</t>
        </is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</row>
    <row r="10">
      <c r="A10" s="17" t="inlineStr">
        <is>
          <t>N03</t>
        </is>
      </c>
      <c r="B10" s="7" t="inlineStr">
        <is>
          <t>Nómina</t>
        </is>
      </c>
      <c r="C10" s="18" t="inlineStr">
        <is>
          <t>Preparación y parametrización</t>
        </is>
      </c>
      <c r="D10" s="7" t="inlineStr">
        <is>
          <t>Parámetros legales 2026</t>
        </is>
      </c>
      <c r="E10" s="7" t="inlineStr">
        <is>
          <t>Equipo Nómina (2 personas, por designar) + Contadora Rafaela Lastra España</t>
        </is>
      </c>
      <c r="F10" s="7" t="inlineStr">
        <is>
          <t>Jorman Copete (IngenIA 365)</t>
        </is>
      </c>
      <c r="G10" s="8" t="n">
        <v>46279</v>
      </c>
      <c r="H10" s="8" t="n">
        <v>46281</v>
      </c>
      <c r="I10" s="17">
        <f>H10-G10+1</f>
        <v/>
      </c>
      <c r="J10" s="17" t="inlineStr"/>
      <c r="K10" s="7" t="inlineStr">
        <is>
          <t>Por confirmar</t>
        </is>
      </c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</row>
    <row r="11">
      <c r="A11" s="17" t="inlineStr">
        <is>
          <t>N04</t>
        </is>
      </c>
      <c r="B11" s="7" t="inlineStr">
        <is>
          <t>Nómina</t>
        </is>
      </c>
      <c r="C11" s="18" t="inlineStr">
        <is>
          <t>Preparación y parametrización</t>
        </is>
      </c>
      <c r="D11" s="7" t="inlineStr">
        <is>
          <t>Cargos y centros de costo</t>
        </is>
      </c>
      <c r="E11" s="7" t="inlineStr">
        <is>
          <t>Equipo Nómina (2 personas, por designar)</t>
        </is>
      </c>
      <c r="F11" s="7" t="inlineStr">
        <is>
          <t>Jorman Copete (IngenIA 365)</t>
        </is>
      </c>
      <c r="G11" s="8" t="n">
        <v>46280</v>
      </c>
      <c r="H11" s="8" t="n">
        <v>46282</v>
      </c>
      <c r="I11" s="17">
        <f>H11-G11+1</f>
        <v/>
      </c>
      <c r="J11" s="17" t="inlineStr"/>
      <c r="K11" s="7" t="inlineStr">
        <is>
          <t>Por confirmar</t>
        </is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</row>
    <row r="12">
      <c r="A12" s="17" t="inlineStr">
        <is>
          <t>N05</t>
        </is>
      </c>
      <c r="B12" s="7" t="inlineStr">
        <is>
          <t>Nómina</t>
        </is>
      </c>
      <c r="C12" s="18" t="inlineStr">
        <is>
          <t>Preparación y parametrización</t>
        </is>
      </c>
      <c r="D12" s="7" t="inlineStr">
        <is>
          <t>Entidades de seguridad social y parafiscales</t>
        </is>
      </c>
      <c r="E12" s="7" t="inlineStr">
        <is>
          <t>Equipo Nómina (2 personas, por designar)</t>
        </is>
      </c>
      <c r="F12" s="7" t="inlineStr">
        <is>
          <t>Jorman Copete (IngenIA 365)</t>
        </is>
      </c>
      <c r="G12" s="8" t="n">
        <v>46280</v>
      </c>
      <c r="H12" s="8" t="n">
        <v>46284</v>
      </c>
      <c r="I12" s="17">
        <f>H12-G12+1</f>
        <v/>
      </c>
      <c r="J12" s="17" t="inlineStr"/>
      <c r="K12" s="7" t="inlineStr">
        <is>
          <t>En curso</t>
        </is>
      </c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</row>
    <row r="13">
      <c r="A13" s="17" t="inlineStr">
        <is>
          <t>N06</t>
        </is>
      </c>
      <c r="B13" s="7" t="inlineStr">
        <is>
          <t>Nómina</t>
        </is>
      </c>
      <c r="C13" s="18" t="inlineStr">
        <is>
          <t>Preparación y parametrización</t>
        </is>
      </c>
      <c r="D13" s="7" t="inlineStr">
        <is>
          <t>Revisión de los 40 conceptos sembrados</t>
        </is>
      </c>
      <c r="E13" s="7" t="inlineStr">
        <is>
          <t>Equipo Nómina (2 personas, por designar)</t>
        </is>
      </c>
      <c r="F13" s="7" t="inlineStr">
        <is>
          <t>Jorman Copete (IngenIA 365)</t>
        </is>
      </c>
      <c r="G13" s="8" t="n">
        <v>46282</v>
      </c>
      <c r="H13" s="8" t="n">
        <v>46284</v>
      </c>
      <c r="I13" s="17">
        <f>H13-G13+1</f>
        <v/>
      </c>
      <c r="J13" s="17" t="inlineStr"/>
      <c r="K13" s="7" t="inlineStr">
        <is>
          <t>En curso</t>
        </is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</row>
    <row r="14">
      <c r="A14" s="17" t="inlineStr">
        <is>
          <t>G02</t>
        </is>
      </c>
      <c r="B14" s="7" t="inlineStr">
        <is>
          <t>Gestión del proyecto</t>
        </is>
      </c>
      <c r="C14" s="26" t="inlineStr">
        <is>
          <t>Gestión del proyecto</t>
        </is>
      </c>
      <c r="D14" s="7" t="inlineStr">
        <is>
          <t>Acordar horario, modalidad y calendario de capacitaciones</t>
        </is>
      </c>
      <c r="E14" s="7" t="inlineStr">
        <is>
          <t>Gerencia + Jorman Copete (IngenIA 365)</t>
        </is>
      </c>
      <c r="F14" s="7" t="inlineStr">
        <is>
          <t>Jorman Copete (IngenIA 365)</t>
        </is>
      </c>
      <c r="G14" s="8" t="n">
        <v>46284</v>
      </c>
      <c r="H14" s="8" t="n">
        <v>46284</v>
      </c>
      <c r="I14" s="17">
        <f>H14-G14+1</f>
        <v/>
      </c>
      <c r="J14" s="17" t="inlineStr"/>
      <c r="K14" s="7" t="inlineStr">
        <is>
          <t>En curso</t>
        </is>
      </c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</row>
    <row r="15">
      <c r="A15" s="17" t="inlineStr">
        <is>
          <t>N16</t>
        </is>
      </c>
      <c r="B15" s="7" t="inlineStr">
        <is>
          <t>Nómina</t>
        </is>
      </c>
      <c r="C15" s="21" t="inlineStr">
        <is>
          <t>Capacitación</t>
        </is>
      </c>
      <c r="D15" s="7" t="inlineStr">
        <is>
          <t>Sesión 2 (sáb 19/09): entidades, empleados, períodos y novedades</t>
        </is>
      </c>
      <c r="E15" s="7" t="inlineStr">
        <is>
          <t>Equipo Nómina (2 personas, por designar)</t>
        </is>
      </c>
      <c r="F15" s="7" t="inlineStr">
        <is>
          <t>Jorman Copete (IngenIA 365)</t>
        </is>
      </c>
      <c r="G15" s="8" t="n">
        <v>46284</v>
      </c>
      <c r="H15" s="8" t="n">
        <v>46284</v>
      </c>
      <c r="I15" s="17">
        <f>H15-G15+1</f>
        <v/>
      </c>
      <c r="J15" s="17" t="inlineStr"/>
      <c r="K15" s="7" t="inlineStr">
        <is>
          <t>En curso</t>
        </is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</row>
    <row r="16">
      <c r="A16" s="17" t="inlineStr">
        <is>
          <t>G01</t>
        </is>
      </c>
      <c r="B16" s="7" t="inlineStr">
        <is>
          <t>Gestión del proyecto</t>
        </is>
      </c>
      <c r="C16" s="26" t="inlineStr">
        <is>
          <t>Gestión del proyecto</t>
        </is>
      </c>
      <c r="D16" s="7" t="inlineStr">
        <is>
          <t>Designar gestor del proyecto y equipos (mínimo 2 personas por módulo)</t>
        </is>
      </c>
      <c r="E16" s="7" t="inlineStr">
        <is>
          <t>Gerencia</t>
        </is>
      </c>
      <c r="F16" s="7" t="inlineStr">
        <is>
          <t>Jorman Copete (IngenIA 365)</t>
        </is>
      </c>
      <c r="G16" s="8" t="n">
        <v>46284</v>
      </c>
      <c r="H16" s="8" t="n">
        <v>46288</v>
      </c>
      <c r="I16" s="17">
        <f>H16-G16+1</f>
        <v/>
      </c>
      <c r="J16" s="17" t="inlineStr"/>
      <c r="K16" s="7" t="inlineStr">
        <is>
          <t>En curso</t>
        </is>
      </c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</row>
    <row r="17">
      <c r="A17" s="17" t="inlineStr">
        <is>
          <t>N10</t>
        </is>
      </c>
      <c r="B17" s="7" t="inlineStr">
        <is>
          <t>Nómina</t>
        </is>
      </c>
      <c r="C17" s="18" t="inlineStr">
        <is>
          <t>Preparación y parametrización</t>
        </is>
      </c>
      <c r="D17" s="7" t="inlineStr">
        <is>
          <t>Alta de empleados</t>
        </is>
      </c>
      <c r="E17" s="7" t="inlineStr">
        <is>
          <t>Equipo Nómina (2 personas, por designar)</t>
        </is>
      </c>
      <c r="F17" s="7" t="inlineStr">
        <is>
          <t>Jorman Copete (IngenIA 365)</t>
        </is>
      </c>
      <c r="G17" s="8" t="n">
        <v>46284</v>
      </c>
      <c r="H17" s="8" t="n">
        <v>46290</v>
      </c>
      <c r="I17" s="17">
        <f>H17-G17+1</f>
        <v/>
      </c>
      <c r="J17" s="17" t="inlineStr"/>
      <c r="K17" s="7" t="inlineStr">
        <is>
          <t>En curso</t>
        </is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</row>
    <row r="18">
      <c r="A18" s="17" t="inlineStr">
        <is>
          <t>N09</t>
        </is>
      </c>
      <c r="B18" s="7" t="inlineStr">
        <is>
          <t>Nómina</t>
        </is>
      </c>
      <c r="C18" s="18" t="inlineStr">
        <is>
          <t>Preparación y parametrización</t>
        </is>
      </c>
      <c r="D18" s="7" t="inlineStr">
        <is>
          <t>Períodos de pago</t>
        </is>
      </c>
      <c r="E18" s="7" t="inlineStr">
        <is>
          <t>Equipo Nómina (2 personas, por designar)</t>
        </is>
      </c>
      <c r="F18" s="7" t="inlineStr">
        <is>
          <t>Jorman Copete (IngenIA 365)</t>
        </is>
      </c>
      <c r="G18" s="8" t="n">
        <v>46286</v>
      </c>
      <c r="H18" s="8" t="n">
        <v>46287</v>
      </c>
      <c r="I18" s="17">
        <f>H18-G18+1</f>
        <v/>
      </c>
      <c r="J18" s="17" t="inlineStr"/>
      <c r="K18" s="7" t="inlineStr">
        <is>
          <t>Pendiente</t>
        </is>
      </c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</row>
    <row r="19">
      <c r="A19" s="17" t="inlineStr">
        <is>
          <t>N08</t>
        </is>
      </c>
      <c r="B19" s="7" t="inlineStr">
        <is>
          <t>Nómina</t>
        </is>
      </c>
      <c r="C19" s="18" t="inlineStr">
        <is>
          <t>Preparación y parametrización</t>
        </is>
      </c>
      <c r="D19" s="7" t="inlineStr">
        <is>
          <t>Retención en la fuente por plan</t>
        </is>
      </c>
      <c r="E19" s="7" t="inlineStr">
        <is>
          <t>Equipo Nómina (2 personas, por designar) + Contadora Rafaela Lastra España</t>
        </is>
      </c>
      <c r="F19" s="7" t="inlineStr">
        <is>
          <t>Jorman Copete (IngenIA 365)</t>
        </is>
      </c>
      <c r="G19" s="8" t="n">
        <v>46286</v>
      </c>
      <c r="H19" s="8" t="n">
        <v>46288</v>
      </c>
      <c r="I19" s="17">
        <f>H19-G19+1</f>
        <v/>
      </c>
      <c r="J19" s="17" t="inlineStr"/>
      <c r="K19" s="7" t="inlineStr">
        <is>
          <t>Pendiente</t>
        </is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</row>
    <row r="20">
      <c r="A20" s="17" t="inlineStr">
        <is>
          <t>N07</t>
        </is>
      </c>
      <c r="B20" s="7" t="inlineStr">
        <is>
          <t>Nómina</t>
        </is>
      </c>
      <c r="C20" s="18" t="inlineStr">
        <is>
          <t>Preparación y parametrización</t>
        </is>
      </c>
      <c r="D20" s="7" t="inlineStr">
        <is>
          <t>Conceptos propios de la cooperativa</t>
        </is>
      </c>
      <c r="E20" s="7" t="inlineStr">
        <is>
          <t>Equipo Nómina (2 personas, por designar)</t>
        </is>
      </c>
      <c r="F20" s="7" t="inlineStr">
        <is>
          <t>Jorman Copete (IngenIA 365)</t>
        </is>
      </c>
      <c r="G20" s="8" t="n">
        <v>46286</v>
      </c>
      <c r="H20" s="8" t="n">
        <v>46289</v>
      </c>
      <c r="I20" s="17">
        <f>H20-G20+1</f>
        <v/>
      </c>
      <c r="J20" s="17" t="inlineStr"/>
      <c r="K20" s="7" t="inlineStr">
        <is>
          <t>Pendiente</t>
        </is>
      </c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</row>
    <row r="21">
      <c r="A21" s="17" t="inlineStr">
        <is>
          <t>G03</t>
        </is>
      </c>
      <c r="B21" s="7" t="inlineStr">
        <is>
          <t>Gestión del proyecto</t>
        </is>
      </c>
      <c r="C21" s="26" t="inlineStr">
        <is>
          <t>Gestión del proyecto</t>
        </is>
      </c>
      <c r="D21" s="7" t="inlineStr">
        <is>
          <t>Usuarios, roles y segundo factor para todos los designados</t>
        </is>
      </c>
      <c r="E21" s="7" t="inlineStr">
        <is>
          <t>Administrador de la cooperativa</t>
        </is>
      </c>
      <c r="F21" s="7" t="inlineStr">
        <is>
          <t>Jorman Copete (IngenIA 365)</t>
        </is>
      </c>
      <c r="G21" s="8" t="n">
        <v>46286</v>
      </c>
      <c r="H21" s="8" t="n">
        <v>46290</v>
      </c>
      <c r="I21" s="17">
        <f>H21-G21+1</f>
        <v/>
      </c>
      <c r="J21" s="17" t="inlineStr"/>
      <c r="K21" s="7" t="inlineStr">
        <is>
          <t>Pendiente</t>
        </is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</row>
    <row r="22">
      <c r="A22" s="17" t="inlineStr">
        <is>
          <t>G04</t>
        </is>
      </c>
      <c r="B22" s="7" t="inlineStr">
        <is>
          <t>Gestión del proyecto</t>
        </is>
      </c>
      <c r="C22" s="26" t="inlineStr">
        <is>
          <t>Gestión del proyecto</t>
        </is>
      </c>
      <c r="D22" s="7" t="inlineStr">
        <is>
          <t>Comunicado interno de inicio del proyecto</t>
        </is>
      </c>
      <c r="E22" s="7" t="inlineStr">
        <is>
          <t>Gerencia</t>
        </is>
      </c>
      <c r="F22" s="7" t="inlineStr">
        <is>
          <t>Jorman Copete (IngenIA 365)</t>
        </is>
      </c>
      <c r="G22" s="8" t="n">
        <v>46287</v>
      </c>
      <c r="H22" s="8" t="n">
        <v>46291</v>
      </c>
      <c r="I22" s="17">
        <f>H22-G22+1</f>
        <v/>
      </c>
      <c r="J22" s="17" t="inlineStr"/>
      <c r="K22" s="7" t="inlineStr">
        <is>
          <t>Pendiente</t>
        </is>
      </c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</row>
    <row r="23">
      <c r="A23" s="17" t="inlineStr">
        <is>
          <t>N11</t>
        </is>
      </c>
      <c r="B23" s="7" t="inlineStr">
        <is>
          <t>Nómina</t>
        </is>
      </c>
      <c r="C23" s="18" t="inlineStr">
        <is>
          <t>Preparación y parametrización</t>
        </is>
      </c>
      <c r="D23" s="7" t="inlineStr">
        <is>
          <t>Novedades fijas y recurrentes</t>
        </is>
      </c>
      <c r="E23" s="7" t="inlineStr">
        <is>
          <t>Equipo Nómina (2 personas, por designar)</t>
        </is>
      </c>
      <c r="F23" s="7" t="inlineStr">
        <is>
          <t>Jorman Copete (IngenIA 365)</t>
        </is>
      </c>
      <c r="G23" s="8" t="n">
        <v>46288</v>
      </c>
      <c r="H23" s="8" t="n">
        <v>46290</v>
      </c>
      <c r="I23" s="17">
        <f>H23-G23+1</f>
        <v/>
      </c>
      <c r="J23" s="17" t="inlineStr"/>
      <c r="K23" s="7" t="inlineStr">
        <is>
          <t>Pendiente</t>
        </is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</row>
    <row r="24">
      <c r="A24" s="17" t="inlineStr">
        <is>
          <t>N12</t>
        </is>
      </c>
      <c r="B24" s="7" t="inlineStr">
        <is>
          <t>Nómina</t>
        </is>
      </c>
      <c r="C24" s="18" t="inlineStr">
        <is>
          <t>Preparación y parametrización</t>
        </is>
      </c>
      <c r="D24" s="7" t="inlineStr">
        <is>
          <t>Verificación cruzada de la parametrización</t>
        </is>
      </c>
      <c r="E24" s="7" t="inlineStr">
        <is>
          <t>Equipo Nómina (2 personas, por designar) + Gestor del proyecto (por designar)</t>
        </is>
      </c>
      <c r="F24" s="7" t="inlineStr">
        <is>
          <t>Jorman Copete (IngenIA 365)</t>
        </is>
      </c>
      <c r="G24" s="8" t="n">
        <v>46290</v>
      </c>
      <c r="H24" s="8" t="n">
        <v>46291</v>
      </c>
      <c r="I24" s="17">
        <f>H24-G24+1</f>
        <v/>
      </c>
      <c r="J24" s="17" t="inlineStr"/>
      <c r="K24" s="7" t="inlineStr">
        <is>
          <t>Pendiente</t>
        </is>
      </c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</row>
    <row r="25">
      <c r="A25" s="27" t="inlineStr">
        <is>
          <t>N13</t>
        </is>
      </c>
      <c r="B25" s="7" t="inlineStr">
        <is>
          <t>Nómina</t>
        </is>
      </c>
      <c r="C25" s="18" t="inlineStr">
        <is>
          <t>Preparación y parametrización</t>
        </is>
      </c>
      <c r="D25" s="28" t="inlineStr">
        <is>
          <t>◆ HITO — Fin de parametrización de Nómina</t>
        </is>
      </c>
      <c r="E25" s="7" t="inlineStr">
        <is>
          <t>Gestor del proyecto (por designar)</t>
        </is>
      </c>
      <c r="F25" s="7" t="inlineStr">
        <is>
          <t>Jorman Copete (IngenIA 365)</t>
        </is>
      </c>
      <c r="G25" s="8" t="n">
        <v>46291</v>
      </c>
      <c r="H25" s="8" t="n">
        <v>46291</v>
      </c>
      <c r="I25" s="17">
        <f>H25-G25+1</f>
        <v/>
      </c>
      <c r="J25" s="19" t="inlineStr">
        <is>
          <t>◆</t>
        </is>
      </c>
      <c r="K25" s="7" t="inlineStr">
        <is>
          <t>Pendiente</t>
        </is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</row>
    <row r="26">
      <c r="A26" s="17" t="inlineStr">
        <is>
          <t>N17</t>
        </is>
      </c>
      <c r="B26" s="7" t="inlineStr">
        <is>
          <t>Nómina</t>
        </is>
      </c>
      <c r="C26" s="21" t="inlineStr">
        <is>
          <t>Capacitación</t>
        </is>
      </c>
      <c r="D26" s="7" t="inlineStr">
        <is>
          <t>Sesión 3 (sáb 26/09): liquidación (calcular → revisar → aprobar), importación CSV de novedades y reportes</t>
        </is>
      </c>
      <c r="E26" s="7" t="inlineStr">
        <is>
          <t>Equipo Nómina (2 personas, por designar)</t>
        </is>
      </c>
      <c r="F26" s="7" t="inlineStr">
        <is>
          <t>Jorman Copete (IngenIA 365)</t>
        </is>
      </c>
      <c r="G26" s="8" t="n">
        <v>46291</v>
      </c>
      <c r="H26" s="8" t="n">
        <v>46291</v>
      </c>
      <c r="I26" s="17">
        <f>H26-G26+1</f>
        <v/>
      </c>
      <c r="J26" s="17" t="inlineStr"/>
      <c r="K26" s="7" t="inlineStr">
        <is>
          <t>Pendiente</t>
        </is>
      </c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</row>
    <row r="27">
      <c r="A27" s="17" t="inlineStr">
        <is>
          <t>C01</t>
        </is>
      </c>
      <c r="B27" s="7" t="inlineStr">
        <is>
          <t>Contabilidad</t>
        </is>
      </c>
      <c r="C27" s="18" t="inlineStr">
        <is>
          <t>Preparación y parametrización</t>
        </is>
      </c>
      <c r="D27" s="7" t="inlineStr">
        <is>
          <t>Acceso y roles del equipo contable</t>
        </is>
      </c>
      <c r="E27" s="7" t="inlineStr">
        <is>
          <t>Contadora Rafaela Lastra España + auxiliar contable (por designar)</t>
        </is>
      </c>
      <c r="F27" s="7" t="inlineStr">
        <is>
          <t>Jorman Copete (IngenIA 365)</t>
        </is>
      </c>
      <c r="G27" s="8" t="n">
        <v>46291</v>
      </c>
      <c r="H27" s="8" t="n">
        <v>46291</v>
      </c>
      <c r="I27" s="17">
        <f>H27-G27+1</f>
        <v/>
      </c>
      <c r="J27" s="17" t="inlineStr"/>
      <c r="K27" s="7" t="inlineStr">
        <is>
          <t>Pendiente</t>
        </is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</row>
    <row r="28">
      <c r="A28" s="17" t="inlineStr">
        <is>
          <t>C18</t>
        </is>
      </c>
      <c r="B28" s="7" t="inlineStr">
        <is>
          <t>Contabilidad</t>
        </is>
      </c>
      <c r="C28" s="21" t="inlineStr">
        <is>
          <t>Capacitación</t>
        </is>
      </c>
      <c r="D28" s="7" t="inlineStr">
        <is>
          <t>Sesión 1 (sáb 26/09): introducción — catálogo CUIF, niveles, cuatro ojos y plan del módulo</t>
        </is>
      </c>
      <c r="E28" s="7" t="inlineStr">
        <is>
          <t>Contadora Rafaela Lastra España + auxiliar contable (por designar)</t>
        </is>
      </c>
      <c r="F28" s="7" t="inlineStr">
        <is>
          <t>Jorman Copete (IngenIA 365)</t>
        </is>
      </c>
      <c r="G28" s="8" t="n">
        <v>46291</v>
      </c>
      <c r="H28" s="8" t="n">
        <v>46291</v>
      </c>
      <c r="I28" s="17">
        <f>H28-G28+1</f>
        <v/>
      </c>
      <c r="J28" s="17" t="inlineStr"/>
      <c r="K28" s="7" t="inlineStr">
        <is>
          <t>Pendiente</t>
        </is>
      </c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</row>
    <row r="29">
      <c r="A29" s="17" t="inlineStr">
        <is>
          <t>M01</t>
        </is>
      </c>
      <c r="B29" s="7" t="inlineStr">
        <is>
          <t>Comercial</t>
        </is>
      </c>
      <c r="C29" s="18" t="inlineStr">
        <is>
          <t>Preparación y parametrización</t>
        </is>
      </c>
      <c r="D29" s="7" t="inlineStr">
        <is>
          <t>Acceso y roles del equipo comercial</t>
        </is>
      </c>
      <c r="E29" s="7" t="inlineStr">
        <is>
          <t>Equipo Comercial (2 personas, por designar)</t>
        </is>
      </c>
      <c r="F29" s="7" t="inlineStr">
        <is>
          <t>Jorman Copete (IngenIA 365)</t>
        </is>
      </c>
      <c r="G29" s="8" t="n">
        <v>46291</v>
      </c>
      <c r="H29" s="8" t="n">
        <v>46291</v>
      </c>
      <c r="I29" s="17">
        <f>H29-G29+1</f>
        <v/>
      </c>
      <c r="J29" s="17" t="inlineStr"/>
      <c r="K29" s="7" t="inlineStr">
        <is>
          <t>Pendiente</t>
        </is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</row>
    <row r="30">
      <c r="A30" s="17" t="inlineStr">
        <is>
          <t>M15</t>
        </is>
      </c>
      <c r="B30" s="7" t="inlineStr">
        <is>
          <t>Comercial</t>
        </is>
      </c>
      <c r="C30" s="21" t="inlineStr">
        <is>
          <t>Capacitación</t>
        </is>
      </c>
      <c r="D30" s="7" t="inlineStr">
        <is>
          <t>Sesión 1 (sáb 26/09): introducción al módulo Inventario/Comercial y Tesorería; plan del módulo</t>
        </is>
      </c>
      <c r="E30" s="7" t="inlineStr">
        <is>
          <t>Equipo Comercial (2 personas, por designar)</t>
        </is>
      </c>
      <c r="F30" s="7" t="inlineStr">
        <is>
          <t>Jorman Copete (IngenIA 365)</t>
        </is>
      </c>
      <c r="G30" s="8" t="n">
        <v>46291</v>
      </c>
      <c r="H30" s="8" t="n">
        <v>46291</v>
      </c>
      <c r="I30" s="17">
        <f>H30-G30+1</f>
        <v/>
      </c>
      <c r="J30" s="17" t="inlineStr"/>
      <c r="K30" s="7" t="inlineStr">
        <is>
          <t>Pendiente</t>
        </is>
      </c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</row>
    <row r="31">
      <c r="A31" s="17" t="inlineStr">
        <is>
          <t>G06</t>
        </is>
      </c>
      <c r="B31" s="7" t="inlineStr">
        <is>
          <t>Gestión del proyecto</t>
        </is>
      </c>
      <c r="C31" s="26" t="inlineStr">
        <is>
          <t>Gestión del proyecto</t>
        </is>
      </c>
      <c r="D31" s="7" t="inlineStr">
        <is>
          <t>Seguimiento semanal del plan</t>
        </is>
      </c>
      <c r="E31" s="7" t="inlineStr">
        <is>
          <t>Gestor del proyecto (por designar) + Jorman Copete (IngenIA 365)</t>
        </is>
      </c>
      <c r="F31" s="7" t="inlineStr">
        <is>
          <t>Jorman Copete (IngenIA 365)</t>
        </is>
      </c>
      <c r="G31" s="8" t="n">
        <v>46291</v>
      </c>
      <c r="H31" s="8" t="n">
        <v>46354</v>
      </c>
      <c r="I31" s="17">
        <f>H31-G31+1</f>
        <v/>
      </c>
      <c r="J31" s="17" t="inlineStr"/>
      <c r="K31" s="7" t="inlineStr">
        <is>
          <t>Pendiente</t>
        </is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</row>
    <row r="32">
      <c r="A32" s="17" t="inlineStr">
        <is>
          <t>G07</t>
        </is>
      </c>
      <c r="B32" s="7" t="inlineStr">
        <is>
          <t>Gestión del proyecto</t>
        </is>
      </c>
      <c r="C32" s="26" t="inlineStr">
        <is>
          <t>Gestión del proyecto</t>
        </is>
      </c>
      <c r="D32" s="7" t="inlineStr">
        <is>
          <t>Confirmar las fechas de las entregas E2 y E3 con el proveedor</t>
        </is>
      </c>
      <c r="E32" s="7" t="inlineStr">
        <is>
          <t>Gestor del proyecto (por designar)</t>
        </is>
      </c>
      <c r="F32" s="7" t="inlineStr">
        <is>
          <t>Jorman Copete (IngenIA 365)</t>
        </is>
      </c>
      <c r="G32" s="8" t="n">
        <v>46293</v>
      </c>
      <c r="H32" s="8" t="n">
        <v>46297</v>
      </c>
      <c r="I32" s="17">
        <f>H32-G32+1</f>
        <v/>
      </c>
      <c r="J32" s="17" t="inlineStr"/>
      <c r="K32" s="7" t="inlineStr">
        <is>
          <t>Pendiente</t>
        </is>
      </c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</row>
    <row r="33">
      <c r="A33" s="17" t="inlineStr">
        <is>
          <t>N20</t>
        </is>
      </c>
      <c r="B33" s="7" t="inlineStr">
        <is>
          <t>Nómina</t>
        </is>
      </c>
      <c r="C33" s="22" t="inlineStr">
        <is>
          <t>Paralelo con el aplicativo actual</t>
        </is>
      </c>
      <c r="D33" s="7" t="inlineStr">
        <is>
          <t>Ciclo 0 (calibración): 2ª quincena de septiembre</t>
        </is>
      </c>
      <c r="E33" s="7" t="inlineStr">
        <is>
          <t>Equipo Nómina (2 personas, por designar)</t>
        </is>
      </c>
      <c r="F33" s="7" t="inlineStr">
        <is>
          <t>Jorman Copete (IngenIA 365)</t>
        </is>
      </c>
      <c r="G33" s="8" t="n">
        <v>46293</v>
      </c>
      <c r="H33" s="8" t="n">
        <v>46297</v>
      </c>
      <c r="I33" s="17">
        <f>H33-G33+1</f>
        <v/>
      </c>
      <c r="J33" s="17" t="inlineStr"/>
      <c r="K33" s="7" t="inlineStr">
        <is>
          <t>Pendiente</t>
        </is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</row>
    <row r="34">
      <c r="A34" s="17" t="inlineStr">
        <is>
          <t>C02</t>
        </is>
      </c>
      <c r="B34" s="7" t="inlineStr">
        <is>
          <t>Contabilidad</t>
        </is>
      </c>
      <c r="C34" s="18" t="inlineStr">
        <is>
          <t>Preparación y parametrización</t>
        </is>
      </c>
      <c r="D34" s="7" t="inlineStr">
        <is>
          <t>Decisiones de configuración</t>
        </is>
      </c>
      <c r="E34" s="7" t="inlineStr">
        <is>
          <t>Contadora Rafaela Lastra España + Gerencia</t>
        </is>
      </c>
      <c r="F34" s="7" t="inlineStr">
        <is>
          <t>Jorman Copete (IngenIA 365)</t>
        </is>
      </c>
      <c r="G34" s="8" t="n">
        <v>46293</v>
      </c>
      <c r="H34" s="8" t="n">
        <v>46297</v>
      </c>
      <c r="I34" s="17">
        <f>H34-G34+1</f>
        <v/>
      </c>
      <c r="J34" s="17" t="inlineStr"/>
      <c r="K34" s="7" t="inlineStr">
        <is>
          <t>Pendiente</t>
        </is>
      </c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</row>
    <row r="35">
      <c r="A35" s="17" t="inlineStr">
        <is>
          <t>M02</t>
        </is>
      </c>
      <c r="B35" s="7" t="inlineStr">
        <is>
          <t>Comercial</t>
        </is>
      </c>
      <c r="C35" s="18" t="inlineStr">
        <is>
          <t>Preparación y parametrización</t>
        </is>
      </c>
      <c r="D35" s="7" t="inlineStr">
        <is>
          <t>Levantamiento de la operación comercial</t>
        </is>
      </c>
      <c r="E35" s="7" t="inlineStr">
        <is>
          <t>Equipo Comercial (2 personas, por designar) + Gestor del proyecto (por designar)</t>
        </is>
      </c>
      <c r="F35" s="7" t="inlineStr">
        <is>
          <t>Jorman Copete (IngenIA 365)</t>
        </is>
      </c>
      <c r="G35" s="8" t="n">
        <v>46293</v>
      </c>
      <c r="H35" s="8" t="n">
        <v>46297</v>
      </c>
      <c r="I35" s="17">
        <f>H35-G35+1</f>
        <v/>
      </c>
      <c r="J35" s="17" t="inlineStr"/>
      <c r="K35" s="7" t="inlineStr">
        <is>
          <t>Pendiente</t>
        </is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</row>
    <row r="36">
      <c r="A36" s="17" t="inlineStr">
        <is>
          <t>G05</t>
        </is>
      </c>
      <c r="B36" s="7" t="inlineStr">
        <is>
          <t>Gestión del proyecto</t>
        </is>
      </c>
      <c r="C36" s="26" t="inlineStr">
        <is>
          <t>Gestión del proyecto</t>
        </is>
      </c>
      <c r="D36" s="7" t="inlineStr">
        <is>
          <t>Bitácora central de inconsistencias y decisiones</t>
        </is>
      </c>
      <c r="E36" s="7" t="inlineStr">
        <is>
          <t>Gestor del proyecto (por designar)</t>
        </is>
      </c>
      <c r="F36" s="7" t="inlineStr">
        <is>
          <t>Jorman Copete (IngenIA 365)</t>
        </is>
      </c>
      <c r="G36" s="8" t="n">
        <v>46293</v>
      </c>
      <c r="H36" s="8" t="n">
        <v>46354</v>
      </c>
      <c r="I36" s="17">
        <f>H36-G36+1</f>
        <v/>
      </c>
      <c r="J36" s="17" t="inlineStr"/>
      <c r="K36" s="7" t="inlineStr">
        <is>
          <t>Pendiente</t>
        </is>
      </c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</row>
    <row r="37">
      <c r="A37" s="17" t="inlineStr">
        <is>
          <t>N18</t>
        </is>
      </c>
      <c r="B37" s="7" t="inlineStr">
        <is>
          <t>Nómina</t>
        </is>
      </c>
      <c r="C37" s="21" t="inlineStr">
        <is>
          <t>Capacitación</t>
        </is>
      </c>
      <c r="D37" s="7" t="inlineStr">
        <is>
          <t>Sesión entre semana (mié 30/09, día por acordar): acompañamiento del ciclo de calibración</t>
        </is>
      </c>
      <c r="E37" s="7" t="inlineStr">
        <is>
          <t>Equipo Nómina (2 personas, por designar)</t>
        </is>
      </c>
      <c r="F37" s="7" t="inlineStr">
        <is>
          <t>Jorman Copete (IngenIA 365)</t>
        </is>
      </c>
      <c r="G37" s="8" t="n">
        <v>46295</v>
      </c>
      <c r="H37" s="8" t="n">
        <v>46295</v>
      </c>
      <c r="I37" s="17">
        <f>H37-G37+1</f>
        <v/>
      </c>
      <c r="J37" s="17" t="inlineStr"/>
      <c r="K37" s="7" t="inlineStr">
        <is>
          <t>Pendiente</t>
        </is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</row>
    <row r="38">
      <c r="A38" s="17" t="inlineStr">
        <is>
          <t>N21</t>
        </is>
      </c>
      <c r="B38" s="7" t="inlineStr">
        <is>
          <t>Nómina</t>
        </is>
      </c>
      <c r="C38" s="22" t="inlineStr">
        <is>
          <t>Paralelo con el aplicativo actual</t>
        </is>
      </c>
      <c r="D38" s="7" t="inlineStr">
        <is>
          <t>Ciclo 1: novedades de la 1ª quincena de octubre</t>
        </is>
      </c>
      <c r="E38" s="7" t="inlineStr">
        <is>
          <t>Equipo Nómina (2 personas, por designar)</t>
        </is>
      </c>
      <c r="F38" s="7" t="inlineStr">
        <is>
          <t>Jorman Copete (IngenIA 365)</t>
        </is>
      </c>
      <c r="G38" s="8" t="n">
        <v>46296</v>
      </c>
      <c r="H38" s="8" t="n">
        <v>46309</v>
      </c>
      <c r="I38" s="17">
        <f>H38-G38+1</f>
        <v/>
      </c>
      <c r="J38" s="17" t="inlineStr"/>
      <c r="K38" s="7" t="inlineStr">
        <is>
          <t>Pendiente</t>
        </is>
      </c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</row>
    <row r="39">
      <c r="A39" s="17" t="inlineStr">
        <is>
          <t>C19</t>
        </is>
      </c>
      <c r="B39" s="7" t="inlineStr">
        <is>
          <t>Contabilidad</t>
        </is>
      </c>
      <c r="C39" s="21" t="inlineStr">
        <is>
          <t>Capacitación</t>
        </is>
      </c>
      <c r="D39" s="7" t="inlineStr">
        <is>
          <t>Sesión 2 (sáb 03/10): configuración inicial, catálogos y validación del catálogo</t>
        </is>
      </c>
      <c r="E39" s="7" t="inlineStr">
        <is>
          <t>Contadora Rafaela Lastra España + auxiliar contable (por designar)</t>
        </is>
      </c>
      <c r="F39" s="7" t="inlineStr">
        <is>
          <t>Jorman Copete (IngenIA 365)</t>
        </is>
      </c>
      <c r="G39" s="8" t="n">
        <v>46298</v>
      </c>
      <c r="H39" s="8" t="n">
        <v>46298</v>
      </c>
      <c r="I39" s="17">
        <f>H39-G39+1</f>
        <v/>
      </c>
      <c r="J39" s="17" t="inlineStr"/>
      <c r="K39" s="7" t="inlineStr">
        <is>
          <t>Pendiente</t>
        </is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</row>
    <row r="40">
      <c r="A40" s="17" t="inlineStr">
        <is>
          <t>M16</t>
        </is>
      </c>
      <c r="B40" s="7" t="inlineStr">
        <is>
          <t>Comercial</t>
        </is>
      </c>
      <c r="C40" s="21" t="inlineStr">
        <is>
          <t>Capacitación</t>
        </is>
      </c>
      <c r="D40" s="7" t="inlineStr">
        <is>
          <t>Sesión 2 (sáb 03/10): grupos, bodegas, ubicaciones, puntos de venta y turnos</t>
        </is>
      </c>
      <c r="E40" s="7" t="inlineStr">
        <is>
          <t>Equipo Comercial (2 personas, por designar)</t>
        </is>
      </c>
      <c r="F40" s="7" t="inlineStr">
        <is>
          <t>Jorman Copete (IngenIA 365)</t>
        </is>
      </c>
      <c r="G40" s="8" t="n">
        <v>46298</v>
      </c>
      <c r="H40" s="8" t="n">
        <v>46298</v>
      </c>
      <c r="I40" s="17">
        <f>H40-G40+1</f>
        <v/>
      </c>
      <c r="J40" s="17" t="inlineStr"/>
      <c r="K40" s="7" t="inlineStr">
        <is>
          <t>Pendiente</t>
        </is>
      </c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</row>
    <row r="41">
      <c r="A41" s="17" t="inlineStr">
        <is>
          <t>C03</t>
        </is>
      </c>
      <c r="B41" s="7" t="inlineStr">
        <is>
          <t>Contabilidad</t>
        </is>
      </c>
      <c r="C41" s="18" t="inlineStr">
        <is>
          <t>Preparación y parametrización</t>
        </is>
      </c>
      <c r="D41" s="7" t="inlineStr">
        <is>
          <t>Configuración inicial (cuatro ojos)</t>
        </is>
      </c>
      <c r="E41" s="7" t="inlineStr">
        <is>
          <t>Contadora Rafaela Lastra España + Gestor del proyecto (por designar)</t>
        </is>
      </c>
      <c r="F41" s="7" t="inlineStr">
        <is>
          <t>Jorman Copete (IngenIA 365)</t>
        </is>
      </c>
      <c r="G41" s="8" t="n">
        <v>46300</v>
      </c>
      <c r="H41" s="8" t="n">
        <v>46301</v>
      </c>
      <c r="I41" s="17">
        <f>H41-G41+1</f>
        <v/>
      </c>
      <c r="J41" s="17" t="inlineStr"/>
      <c r="K41" s="7" t="inlineStr">
        <is>
          <t>Pendiente</t>
        </is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</row>
    <row r="42">
      <c r="A42" s="17" t="inlineStr">
        <is>
          <t>M03</t>
        </is>
      </c>
      <c r="B42" s="7" t="inlineStr">
        <is>
          <t>Comercial</t>
        </is>
      </c>
      <c r="C42" s="18" t="inlineStr">
        <is>
          <t>Preparación y parametrización</t>
        </is>
      </c>
      <c r="D42" s="7" t="inlineStr">
        <is>
          <t>Grupos primarios y grupos de productos</t>
        </is>
      </c>
      <c r="E42" s="7" t="inlineStr">
        <is>
          <t>Equipo Comercial (2 personas, por designar)</t>
        </is>
      </c>
      <c r="F42" s="7" t="inlineStr">
        <is>
          <t>Jorman Copete (IngenIA 365)</t>
        </is>
      </c>
      <c r="G42" s="8" t="n">
        <v>46300</v>
      </c>
      <c r="H42" s="8" t="n">
        <v>46302</v>
      </c>
      <c r="I42" s="17">
        <f>H42-G42+1</f>
        <v/>
      </c>
      <c r="J42" s="17" t="inlineStr"/>
      <c r="K42" s="7" t="inlineStr">
        <is>
          <t>Pendiente</t>
        </is>
      </c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</row>
    <row r="43">
      <c r="A43" s="17" t="inlineStr">
        <is>
          <t>M04</t>
        </is>
      </c>
      <c r="B43" s="7" t="inlineStr">
        <is>
          <t>Comercial</t>
        </is>
      </c>
      <c r="C43" s="18" t="inlineStr">
        <is>
          <t>Preparación y parametrización</t>
        </is>
      </c>
      <c r="D43" s="7" t="inlineStr">
        <is>
          <t>Bodegas y ubicaciones</t>
        </is>
      </c>
      <c r="E43" s="7" t="inlineStr">
        <is>
          <t>Equipo Comercial (2 personas, por designar)</t>
        </is>
      </c>
      <c r="F43" s="7" t="inlineStr">
        <is>
          <t>Jorman Copete (IngenIA 365)</t>
        </is>
      </c>
      <c r="G43" s="8" t="n">
        <v>46300</v>
      </c>
      <c r="H43" s="8" t="n">
        <v>46302</v>
      </c>
      <c r="I43" s="17">
        <f>H43-G43+1</f>
        <v/>
      </c>
      <c r="J43" s="17" t="inlineStr"/>
      <c r="K43" s="7" t="inlineStr">
        <is>
          <t>Pendiente</t>
        </is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</row>
    <row r="44">
      <c r="A44" s="17" t="inlineStr">
        <is>
          <t>C04</t>
        </is>
      </c>
      <c r="B44" s="7" t="inlineStr">
        <is>
          <t>Contabilidad</t>
        </is>
      </c>
      <c r="C44" s="18" t="inlineStr">
        <is>
          <t>Preparación y parametrización</t>
        </is>
      </c>
      <c r="D44" s="7" t="inlineStr">
        <is>
          <t>Validación del catálogo PUC por la contadora</t>
        </is>
      </c>
      <c r="E44" s="7" t="inlineStr">
        <is>
          <t>Contadora Rafaela Lastra España</t>
        </is>
      </c>
      <c r="F44" s="7" t="inlineStr">
        <is>
          <t>Jorman Copete (IngenIA 365)</t>
        </is>
      </c>
      <c r="G44" s="8" t="n">
        <v>46300</v>
      </c>
      <c r="H44" s="8" t="n">
        <v>46304</v>
      </c>
      <c r="I44" s="17">
        <f>H44-G44+1</f>
        <v/>
      </c>
      <c r="J44" s="17" t="inlineStr"/>
      <c r="K44" s="7" t="inlineStr">
        <is>
          <t>Pendiente</t>
        </is>
      </c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</row>
    <row r="45">
      <c r="A45" s="17" t="inlineStr">
        <is>
          <t>N35</t>
        </is>
      </c>
      <c r="B45" s="7" t="inlineStr">
        <is>
          <t>Nómina</t>
        </is>
      </c>
      <c r="C45" s="22" t="inlineStr">
        <is>
          <t>Paralelo con el aplicativo actual</t>
        </is>
      </c>
      <c r="D45" s="7" t="inlineStr">
        <is>
          <t>Información para seguridad social (PILA)</t>
        </is>
      </c>
      <c r="E45" s="7" t="inlineStr">
        <is>
          <t>Equipo Nómina (2 personas, por designar)</t>
        </is>
      </c>
      <c r="F45" s="7" t="inlineStr">
        <is>
          <t>Jorman Copete (IngenIA 365)</t>
        </is>
      </c>
      <c r="G45" s="8" t="n">
        <v>46300</v>
      </c>
      <c r="H45" s="8" t="n">
        <v>46311</v>
      </c>
      <c r="I45" s="17">
        <f>H45-G45+1</f>
        <v/>
      </c>
      <c r="J45" s="17" t="inlineStr"/>
      <c r="K45" s="7" t="inlineStr">
        <is>
          <t>Pendiente</t>
        </is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</row>
    <row r="46">
      <c r="A46" s="17" t="inlineStr">
        <is>
          <t>C06</t>
        </is>
      </c>
      <c r="B46" s="7" t="inlineStr">
        <is>
          <t>Contabilidad</t>
        </is>
      </c>
      <c r="C46" s="18" t="inlineStr">
        <is>
          <t>Preparación y parametrización</t>
        </is>
      </c>
      <c r="D46" s="7" t="inlineStr">
        <is>
          <t>Mapa de cuentas actual → nuevo</t>
        </is>
      </c>
      <c r="E46" s="7" t="inlineStr">
        <is>
          <t>Contadora Rafaela Lastra España + auxiliar contable (por designar)</t>
        </is>
      </c>
      <c r="F46" s="7" t="inlineStr">
        <is>
          <t>Jorman Copete (IngenIA 365)</t>
        </is>
      </c>
      <c r="G46" s="8" t="n">
        <v>46300</v>
      </c>
      <c r="H46" s="8" t="n">
        <v>46311</v>
      </c>
      <c r="I46" s="17">
        <f>H46-G46+1</f>
        <v/>
      </c>
      <c r="J46" s="17" t="inlineStr"/>
      <c r="K46" s="7" t="inlineStr">
        <is>
          <t>Pendiente</t>
        </is>
      </c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</row>
    <row r="47">
      <c r="A47" s="17" t="inlineStr">
        <is>
          <t>C12</t>
        </is>
      </c>
      <c r="B47" s="7" t="inlineStr">
        <is>
          <t>Contabilidad</t>
        </is>
      </c>
      <c r="C47" s="18" t="inlineStr">
        <is>
          <t>Preparación y parametrización</t>
        </is>
      </c>
      <c r="D47" s="7" t="inlineStr">
        <is>
          <t>Maestros transversales</t>
        </is>
      </c>
      <c r="E47" s="7" t="inlineStr">
        <is>
          <t>Contadora Rafaela Lastra España + auxiliar contable (por designar)</t>
        </is>
      </c>
      <c r="F47" s="7" t="inlineStr">
        <is>
          <t>Jorman Copete (IngenIA 365)</t>
        </is>
      </c>
      <c r="G47" s="8" t="n">
        <v>46301</v>
      </c>
      <c r="H47" s="8" t="n">
        <v>46304</v>
      </c>
      <c r="I47" s="17">
        <f>H47-G47+1</f>
        <v/>
      </c>
      <c r="J47" s="17" t="inlineStr"/>
      <c r="K47" s="7" t="inlineStr">
        <is>
          <t>Pendiente</t>
        </is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</row>
    <row r="48">
      <c r="A48" s="17" t="inlineStr">
        <is>
          <t>M05</t>
        </is>
      </c>
      <c r="B48" s="7" t="inlineStr">
        <is>
          <t>Comercial</t>
        </is>
      </c>
      <c r="C48" s="18" t="inlineStr">
        <is>
          <t>Preparación y parametrización</t>
        </is>
      </c>
      <c r="D48" s="7" t="inlineStr">
        <is>
          <t>Puntos de venta y turnos</t>
        </is>
      </c>
      <c r="E48" s="7" t="inlineStr">
        <is>
          <t>Equipo Comercial (2 personas, por designar)</t>
        </is>
      </c>
      <c r="F48" s="7" t="inlineStr">
        <is>
          <t>Jorman Copete (IngenIA 365)</t>
        </is>
      </c>
      <c r="G48" s="8" t="n">
        <v>46301</v>
      </c>
      <c r="H48" s="8" t="n">
        <v>46304</v>
      </c>
      <c r="I48" s="17">
        <f>H48-G48+1</f>
        <v/>
      </c>
      <c r="J48" s="17" t="inlineStr"/>
      <c r="K48" s="7" t="inlineStr">
        <is>
          <t>Pendiente</t>
        </is>
      </c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</row>
    <row r="49">
      <c r="A49" s="17" t="inlineStr">
        <is>
          <t>C11</t>
        </is>
      </c>
      <c r="B49" s="7" t="inlineStr">
        <is>
          <t>Contabilidad</t>
        </is>
      </c>
      <c r="C49" s="18" t="inlineStr">
        <is>
          <t>Preparación y parametrización</t>
        </is>
      </c>
      <c r="D49" s="7" t="inlineStr">
        <is>
          <t>Terceros (Maestros → Personas)</t>
        </is>
      </c>
      <c r="E49" s="7" t="inlineStr">
        <is>
          <t>Auxiliar contable (por designar)</t>
        </is>
      </c>
      <c r="F49" s="7" t="inlineStr">
        <is>
          <t>Jorman Copete (IngenIA 365)</t>
        </is>
      </c>
      <c r="G49" s="8" t="n">
        <v>46301</v>
      </c>
      <c r="H49" s="8" t="n">
        <v>46318</v>
      </c>
      <c r="I49" s="17">
        <f>H49-G49+1</f>
        <v/>
      </c>
      <c r="J49" s="17" t="inlineStr"/>
      <c r="K49" s="7" t="inlineStr">
        <is>
          <t>Pendiente</t>
        </is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</row>
    <row r="50">
      <c r="A50" s="17" t="inlineStr">
        <is>
          <t>M06</t>
        </is>
      </c>
      <c r="B50" s="7" t="inlineStr">
        <is>
          <t>Comercial</t>
        </is>
      </c>
      <c r="C50" s="18" t="inlineStr">
        <is>
          <t>Preparación y parametrización</t>
        </is>
      </c>
      <c r="D50" s="7" t="inlineStr">
        <is>
          <t>Vendedores y comisiones</t>
        </is>
      </c>
      <c r="E50" s="7" t="inlineStr">
        <is>
          <t>Equipo Comercial (2 personas, por designar)</t>
        </is>
      </c>
      <c r="F50" s="7" t="inlineStr">
        <is>
          <t>Jorman Copete (IngenIA 365)</t>
        </is>
      </c>
      <c r="G50" s="8" t="n">
        <v>46303</v>
      </c>
      <c r="H50" s="8" t="n">
        <v>46309</v>
      </c>
      <c r="I50" s="17">
        <f>H50-G50+1</f>
        <v/>
      </c>
      <c r="J50" s="17" t="inlineStr"/>
      <c r="K50" s="7" t="inlineStr">
        <is>
          <t>Pendiente</t>
        </is>
      </c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</row>
    <row r="51">
      <c r="A51" s="27" t="inlineStr">
        <is>
          <t>C05</t>
        </is>
      </c>
      <c r="B51" s="7" t="inlineStr">
        <is>
          <t>Contabilidad</t>
        </is>
      </c>
      <c r="C51" s="18" t="inlineStr">
        <is>
          <t>Preparación y parametrización</t>
        </is>
      </c>
      <c r="D51" s="28" t="inlineStr">
        <is>
          <t>◆ HITO — Catálogo PUC validado por la contadora</t>
        </is>
      </c>
      <c r="E51" s="7" t="inlineStr">
        <is>
          <t>Contadora Rafaela Lastra España</t>
        </is>
      </c>
      <c r="F51" s="7" t="inlineStr">
        <is>
          <t>Jorman Copete (IngenIA 365)</t>
        </is>
      </c>
      <c r="G51" s="8" t="n">
        <v>46304</v>
      </c>
      <c r="H51" s="8" t="n">
        <v>46304</v>
      </c>
      <c r="I51" s="17">
        <f>H51-G51+1</f>
        <v/>
      </c>
      <c r="J51" s="19" t="inlineStr">
        <is>
          <t>◆</t>
        </is>
      </c>
      <c r="K51" s="7" t="inlineStr">
        <is>
          <t>Pendiente</t>
        </is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</row>
    <row r="52">
      <c r="A52" s="17" t="inlineStr">
        <is>
          <t>C20</t>
        </is>
      </c>
      <c r="B52" s="7" t="inlineStr">
        <is>
          <t>Contabilidad</t>
        </is>
      </c>
      <c r="C52" s="21" t="inlineStr">
        <is>
          <t>Capacitación</t>
        </is>
      </c>
      <c r="D52" s="7" t="inlineStr">
        <is>
          <t>Sesión 3 (sáb 10/10): plan de cuentas, tipos de comprobante y períodos</t>
        </is>
      </c>
      <c r="E52" s="7" t="inlineStr">
        <is>
          <t>Contadora Rafaela Lastra España + auxiliar contable (por designar)</t>
        </is>
      </c>
      <c r="F52" s="7" t="inlineStr">
        <is>
          <t>Jorman Copete (IngenIA 365)</t>
        </is>
      </c>
      <c r="G52" s="8" t="n">
        <v>46305</v>
      </c>
      <c r="H52" s="8" t="n">
        <v>46305</v>
      </c>
      <c r="I52" s="17">
        <f>H52-G52+1</f>
        <v/>
      </c>
      <c r="J52" s="17" t="inlineStr"/>
      <c r="K52" s="7" t="inlineStr">
        <is>
          <t>Pendiente</t>
        </is>
      </c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</row>
    <row r="53">
      <c r="A53" s="17" t="inlineStr">
        <is>
          <t>M17</t>
        </is>
      </c>
      <c r="B53" s="7" t="inlineStr">
        <is>
          <t>Comercial</t>
        </is>
      </c>
      <c r="C53" s="21" t="inlineStr">
        <is>
          <t>Capacitación</t>
        </is>
      </c>
      <c r="D53" s="7" t="inlineStr">
        <is>
          <t>Sesión 3 (sáb 10/10): productos, listas de precios, descuentos, vendedores y comisiones</t>
        </is>
      </c>
      <c r="E53" s="7" t="inlineStr">
        <is>
          <t>Equipo Comercial (2 personas, por designar)</t>
        </is>
      </c>
      <c r="F53" s="7" t="inlineStr">
        <is>
          <t>Jorman Copete (IngenIA 365)</t>
        </is>
      </c>
      <c r="G53" s="8" t="n">
        <v>46305</v>
      </c>
      <c r="H53" s="8" t="n">
        <v>46305</v>
      </c>
      <c r="I53" s="17">
        <f>H53-G53+1</f>
        <v/>
      </c>
      <c r="J53" s="17" t="inlineStr"/>
      <c r="K53" s="7" t="inlineStr">
        <is>
          <t>Pendiente</t>
        </is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</row>
    <row r="54">
      <c r="A54" s="17" t="inlineStr">
        <is>
          <t>M08</t>
        </is>
      </c>
      <c r="B54" s="7" t="inlineStr">
        <is>
          <t>Comercial</t>
        </is>
      </c>
      <c r="C54" s="18" t="inlineStr">
        <is>
          <t>Preparación y parametrización</t>
        </is>
      </c>
      <c r="D54" s="7" t="inlineStr">
        <is>
          <t>Tipos de movimiento</t>
        </is>
      </c>
      <c r="E54" s="7" t="inlineStr">
        <is>
          <t>Equipo Comercial (2 personas, por designar)</t>
        </is>
      </c>
      <c r="F54" s="7" t="inlineStr">
        <is>
          <t>Jorman Copete (IngenIA 365)</t>
        </is>
      </c>
      <c r="G54" s="8" t="n">
        <v>46308</v>
      </c>
      <c r="H54" s="8" t="n">
        <v>46310</v>
      </c>
      <c r="I54" s="17">
        <f>H54-G54+1</f>
        <v/>
      </c>
      <c r="J54" s="17" t="inlineStr"/>
      <c r="K54" s="7" t="inlineStr">
        <is>
          <t>Pendiente</t>
        </is>
      </c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</row>
    <row r="55">
      <c r="A55" s="17" t="inlineStr">
        <is>
          <t>C09</t>
        </is>
      </c>
      <c r="B55" s="7" t="inlineStr">
        <is>
          <t>Contabilidad</t>
        </is>
      </c>
      <c r="C55" s="18" t="inlineStr">
        <is>
          <t>Preparación y parametrización</t>
        </is>
      </c>
      <c r="D55" s="7" t="inlineStr">
        <is>
          <t>Tipos de comprobante</t>
        </is>
      </c>
      <c r="E55" s="7" t="inlineStr">
        <is>
          <t>Contadora Rafaela Lastra España + auxiliar contable (por designar)</t>
        </is>
      </c>
      <c r="F55" s="7" t="inlineStr">
        <is>
          <t>Jorman Copete (IngenIA 365)</t>
        </is>
      </c>
      <c r="G55" s="8" t="n">
        <v>46308</v>
      </c>
      <c r="H55" s="8" t="n">
        <v>46311</v>
      </c>
      <c r="I55" s="17">
        <f>H55-G55+1</f>
        <v/>
      </c>
      <c r="J55" s="17" t="inlineStr"/>
      <c r="K55" s="7" t="inlineStr">
        <is>
          <t>Pendiente</t>
        </is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</row>
    <row r="56">
      <c r="A56" s="17" t="inlineStr">
        <is>
          <t>C10</t>
        </is>
      </c>
      <c r="B56" s="7" t="inlineStr">
        <is>
          <t>Contabilidad</t>
        </is>
      </c>
      <c r="C56" s="18" t="inlineStr">
        <is>
          <t>Preparación y parametrización</t>
        </is>
      </c>
      <c r="D56" s="7" t="inlineStr">
        <is>
          <t>Períodos contables</t>
        </is>
      </c>
      <c r="E56" s="7" t="inlineStr">
        <is>
          <t>Contadora Rafaela Lastra España + auxiliar contable (por designar)</t>
        </is>
      </c>
      <c r="F56" s="7" t="inlineStr">
        <is>
          <t>Jorman Copete (IngenIA 365)</t>
        </is>
      </c>
      <c r="G56" s="8" t="n">
        <v>46308</v>
      </c>
      <c r="H56" s="8" t="n">
        <v>46311</v>
      </c>
      <c r="I56" s="17">
        <f>H56-G56+1</f>
        <v/>
      </c>
      <c r="J56" s="17" t="inlineStr"/>
      <c r="K56" s="7" t="inlineStr">
        <is>
          <t>Pendiente</t>
        </is>
      </c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</row>
    <row r="57">
      <c r="A57" s="17" t="inlineStr">
        <is>
          <t>C07</t>
        </is>
      </c>
      <c r="B57" s="7" t="inlineStr">
        <is>
          <t>Contabilidad</t>
        </is>
      </c>
      <c r="C57" s="18" t="inlineStr">
        <is>
          <t>Preparación y parametrización</t>
        </is>
      </c>
      <c r="D57" s="7" t="inlineStr">
        <is>
          <t>Plan de cuentas: auxiliares propios</t>
        </is>
      </c>
      <c r="E57" s="7" t="inlineStr">
        <is>
          <t>Contadora Rafaela Lastra España + auxiliar contable (por designar)</t>
        </is>
      </c>
      <c r="F57" s="7" t="inlineStr">
        <is>
          <t>Jorman Copete (IngenIA 365)</t>
        </is>
      </c>
      <c r="G57" s="8" t="n">
        <v>46308</v>
      </c>
      <c r="H57" s="8" t="n">
        <v>46312</v>
      </c>
      <c r="I57" s="17">
        <f>H57-G57+1</f>
        <v/>
      </c>
      <c r="J57" s="17" t="inlineStr"/>
      <c r="K57" s="7" t="inlineStr">
        <is>
          <t>Pendiente</t>
        </is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</row>
    <row r="58">
      <c r="A58" s="17" t="inlineStr">
        <is>
          <t>M07</t>
        </is>
      </c>
      <c r="B58" s="7" t="inlineStr">
        <is>
          <t>Comercial</t>
        </is>
      </c>
      <c r="C58" s="18" t="inlineStr">
        <is>
          <t>Preparación y parametrización</t>
        </is>
      </c>
      <c r="D58" s="7" t="inlineStr">
        <is>
          <t>Tipos de descuento y listas de precios</t>
        </is>
      </c>
      <c r="E58" s="7" t="inlineStr">
        <is>
          <t>Equipo Comercial (2 personas, por designar)</t>
        </is>
      </c>
      <c r="F58" s="7" t="inlineStr">
        <is>
          <t>Jorman Copete (IngenIA 365)</t>
        </is>
      </c>
      <c r="G58" s="8" t="n">
        <v>46308</v>
      </c>
      <c r="H58" s="8" t="n">
        <v>46312</v>
      </c>
      <c r="I58" s="17">
        <f>H58-G58+1</f>
        <v/>
      </c>
      <c r="J58" s="17" t="inlineStr"/>
      <c r="K58" s="7" t="inlineStr">
        <is>
          <t>Pendiente</t>
        </is>
      </c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</row>
    <row r="59">
      <c r="A59" s="17" t="inlineStr">
        <is>
          <t>M09</t>
        </is>
      </c>
      <c r="B59" s="7" t="inlineStr">
        <is>
          <t>Comercial</t>
        </is>
      </c>
      <c r="C59" s="18" t="inlineStr">
        <is>
          <t>Preparación y parametrización</t>
        </is>
      </c>
      <c r="D59" s="7" t="inlineStr">
        <is>
          <t>Catálogo de productos</t>
        </is>
      </c>
      <c r="E59" s="7" t="inlineStr">
        <is>
          <t>Equipo Comercial (2 personas, por designar)</t>
        </is>
      </c>
      <c r="F59" s="7" t="inlineStr">
        <is>
          <t>Jorman Copete (IngenIA 365)</t>
        </is>
      </c>
      <c r="G59" s="8" t="n">
        <v>46308</v>
      </c>
      <c r="H59" s="8" t="n">
        <v>46318</v>
      </c>
      <c r="I59" s="17">
        <f>H59-G59+1</f>
        <v/>
      </c>
      <c r="J59" s="17" t="inlineStr"/>
      <c r="K59" s="7" t="inlineStr">
        <is>
          <t>Pendiente</t>
        </is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</row>
    <row r="60">
      <c r="A60" s="17" t="inlineStr">
        <is>
          <t>N22</t>
        </is>
      </c>
      <c r="B60" s="7" t="inlineStr">
        <is>
          <t>Nómina</t>
        </is>
      </c>
      <c r="C60" s="22" t="inlineStr">
        <is>
          <t>Paralelo con el aplicativo actual</t>
        </is>
      </c>
      <c r="D60" s="7" t="inlineStr">
        <is>
          <t>Ciclo 1: liquidar la 1ª quincena de octubre</t>
        </is>
      </c>
      <c r="E60" s="7" t="inlineStr">
        <is>
          <t>Equipo Nómina (2 personas, por designar)</t>
        </is>
      </c>
      <c r="F60" s="7" t="inlineStr">
        <is>
          <t>Jorman Copete (IngenIA 365)</t>
        </is>
      </c>
      <c r="G60" s="8" t="n">
        <v>46309</v>
      </c>
      <c r="H60" s="8" t="n">
        <v>46310</v>
      </c>
      <c r="I60" s="17">
        <f>H60-G60+1</f>
        <v/>
      </c>
      <c r="J60" s="17" t="inlineStr"/>
      <c r="K60" s="7" t="inlineStr">
        <is>
          <t>Pendiente</t>
        </is>
      </c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</row>
    <row r="61">
      <c r="A61" s="27" t="inlineStr">
        <is>
          <t>N23</t>
        </is>
      </c>
      <c r="B61" s="7" t="inlineStr">
        <is>
          <t>Nómina</t>
        </is>
      </c>
      <c r="C61" s="22" t="inlineStr">
        <is>
          <t>Paralelo con el aplicativo actual</t>
        </is>
      </c>
      <c r="D61" s="28" t="inlineStr">
        <is>
          <t>◆ HITO — Primera nómina liquidada en paralelo</t>
        </is>
      </c>
      <c r="E61" s="7" t="inlineStr">
        <is>
          <t>Equipo Nómina (2 personas, por designar)</t>
        </is>
      </c>
      <c r="F61" s="7" t="inlineStr">
        <is>
          <t>Jorman Copete (IngenIA 365)</t>
        </is>
      </c>
      <c r="G61" s="8" t="n">
        <v>46310</v>
      </c>
      <c r="H61" s="8" t="n">
        <v>46310</v>
      </c>
      <c r="I61" s="17">
        <f>H61-G61+1</f>
        <v/>
      </c>
      <c r="J61" s="19" t="inlineStr">
        <is>
          <t>◆</t>
        </is>
      </c>
      <c r="K61" s="7" t="inlineStr">
        <is>
          <t>Pendiente</t>
        </is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</row>
    <row r="62">
      <c r="A62" s="17" t="inlineStr">
        <is>
          <t>N24</t>
        </is>
      </c>
      <c r="B62" s="7" t="inlineStr">
        <is>
          <t>Nómina</t>
        </is>
      </c>
      <c r="C62" s="22" t="inlineStr">
        <is>
          <t>Paralelo con el aplicativo actual</t>
        </is>
      </c>
      <c r="D62" s="7" t="inlineStr">
        <is>
          <t>Ciclo 1: comparar con el aplicativo actual y registrar diferencias</t>
        </is>
      </c>
      <c r="E62" s="7" t="inlineStr">
        <is>
          <t>Equipo Nómina (2 personas, por designar)</t>
        </is>
      </c>
      <c r="F62" s="7" t="inlineStr">
        <is>
          <t>Jorman Copete (IngenIA 365)</t>
        </is>
      </c>
      <c r="G62" s="8" t="n">
        <v>46310</v>
      </c>
      <c r="H62" s="8" t="n">
        <v>46311</v>
      </c>
      <c r="I62" s="17">
        <f>H62-G62+1</f>
        <v/>
      </c>
      <c r="J62" s="17" t="inlineStr"/>
      <c r="K62" s="7" t="inlineStr">
        <is>
          <t>Pendiente</t>
        </is>
      </c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</row>
    <row r="63">
      <c r="A63" s="17" t="inlineStr">
        <is>
          <t>N34</t>
        </is>
      </c>
      <c r="B63" s="7" t="inlineStr">
        <is>
          <t>Nómina</t>
        </is>
      </c>
      <c r="C63" s="22" t="inlineStr">
        <is>
          <t>Paralelo con el aplicativo actual</t>
        </is>
      </c>
      <c r="D63" s="7" t="inlineStr">
        <is>
          <t>Reportes de nómina en cada ciclo</t>
        </is>
      </c>
      <c r="E63" s="7" t="inlineStr">
        <is>
          <t>Equipo Nómina (2 personas, por designar)</t>
        </is>
      </c>
      <c r="F63" s="7" t="inlineStr">
        <is>
          <t>Jorman Copete (IngenIA 365)</t>
        </is>
      </c>
      <c r="G63" s="8" t="n">
        <v>46310</v>
      </c>
      <c r="H63" s="8" t="n">
        <v>46354</v>
      </c>
      <c r="I63" s="17">
        <f>H63-G63+1</f>
        <v/>
      </c>
      <c r="J63" s="17" t="inlineStr"/>
      <c r="K63" s="7" t="inlineStr">
        <is>
          <t>Pendiente</t>
        </is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</row>
    <row r="64">
      <c r="A64" s="27" t="inlineStr">
        <is>
          <t>N25</t>
        </is>
      </c>
      <c r="B64" s="7" t="inlineStr">
        <is>
          <t>Nómina</t>
        </is>
      </c>
      <c r="C64" s="22" t="inlineStr">
        <is>
          <t>Paralelo con el aplicativo actual</t>
        </is>
      </c>
      <c r="D64" s="28" t="inlineStr">
        <is>
          <t>◆ HITO — Cuadre de la primera nómina frente al aplicativo actual</t>
        </is>
      </c>
      <c r="E64" s="7" t="inlineStr">
        <is>
          <t>Equipo Nómina (2 personas, por designar)</t>
        </is>
      </c>
      <c r="F64" s="7" t="inlineStr">
        <is>
          <t>Jorman Copete (IngenIA 365)</t>
        </is>
      </c>
      <c r="G64" s="8" t="n">
        <v>46311</v>
      </c>
      <c r="H64" s="8" t="n">
        <v>46311</v>
      </c>
      <c r="I64" s="17">
        <f>H64-G64+1</f>
        <v/>
      </c>
      <c r="J64" s="19" t="inlineStr">
        <is>
          <t>◆</t>
        </is>
      </c>
      <c r="K64" s="7" t="inlineStr">
        <is>
          <t>Pendiente</t>
        </is>
      </c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</row>
    <row r="65">
      <c r="A65" s="17" t="inlineStr">
        <is>
          <t>N26</t>
        </is>
      </c>
      <c r="B65" s="7" t="inlineStr">
        <is>
          <t>Nómina</t>
        </is>
      </c>
      <c r="C65" s="22" t="inlineStr">
        <is>
          <t>Paralelo con el aplicativo actual</t>
        </is>
      </c>
      <c r="D65" s="7" t="inlineStr">
        <is>
          <t>Ciclo 2: novedades de la 2ª quincena de octubre</t>
        </is>
      </c>
      <c r="E65" s="7" t="inlineStr">
        <is>
          <t>Equipo Nómina (2 personas, por designar)</t>
        </is>
      </c>
      <c r="F65" s="7" t="inlineStr">
        <is>
          <t>Jorman Copete (IngenIA 365)</t>
        </is>
      </c>
      <c r="G65" s="8" t="n">
        <v>46311</v>
      </c>
      <c r="H65" s="8" t="n">
        <v>46324</v>
      </c>
      <c r="I65" s="17">
        <f>H65-G65+1</f>
        <v/>
      </c>
      <c r="J65" s="17" t="inlineStr"/>
      <c r="K65" s="7" t="inlineStr">
        <is>
          <t>Pendiente</t>
        </is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</row>
    <row r="66">
      <c r="A66" s="27" t="inlineStr">
        <is>
          <t>C08</t>
        </is>
      </c>
      <c r="B66" s="7" t="inlineStr">
        <is>
          <t>Contabilidad</t>
        </is>
      </c>
      <c r="C66" s="18" t="inlineStr">
        <is>
          <t>Preparación y parametrización</t>
        </is>
      </c>
      <c r="D66" s="28" t="inlineStr">
        <is>
          <t>◆ HITO — Plan de cuentas listo para Nómina, Cartera y Comercial</t>
        </is>
      </c>
      <c r="E66" s="7" t="inlineStr">
        <is>
          <t>Contadora Rafaela Lastra España</t>
        </is>
      </c>
      <c r="F66" s="7" t="inlineStr">
        <is>
          <t>Jorman Copete (IngenIA 365)</t>
        </is>
      </c>
      <c r="G66" s="8" t="n">
        <v>46312</v>
      </c>
      <c r="H66" s="8" t="n">
        <v>46312</v>
      </c>
      <c r="I66" s="17">
        <f>H66-G66+1</f>
        <v/>
      </c>
      <c r="J66" s="19" t="inlineStr">
        <is>
          <t>◆</t>
        </is>
      </c>
      <c r="K66" s="7" t="inlineStr">
        <is>
          <t>Pendiente</t>
        </is>
      </c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</row>
    <row r="67">
      <c r="A67" s="17" t="inlineStr">
        <is>
          <t>C21</t>
        </is>
      </c>
      <c r="B67" s="7" t="inlineStr">
        <is>
          <t>Contabilidad</t>
        </is>
      </c>
      <c r="C67" s="21" t="inlineStr">
        <is>
          <t>Capacitación</t>
        </is>
      </c>
      <c r="D67" s="7" t="inlineStr">
        <is>
          <t>Sesión 4 (sáb 17/10): comprobantes y borradores — causaciones, pagos y egresos con casos de la cooperativa</t>
        </is>
      </c>
      <c r="E67" s="7" t="inlineStr">
        <is>
          <t>Contadora Rafaela Lastra España + auxiliar contable (por designar)</t>
        </is>
      </c>
      <c r="F67" s="7" t="inlineStr">
        <is>
          <t>Jorman Copete (IngenIA 365)</t>
        </is>
      </c>
      <c r="G67" s="8" t="n">
        <v>46312</v>
      </c>
      <c r="H67" s="8" t="n">
        <v>46312</v>
      </c>
      <c r="I67" s="17">
        <f>H67-G67+1</f>
        <v/>
      </c>
      <c r="J67" s="17" t="inlineStr"/>
      <c r="K67" s="7" t="inlineStr">
        <is>
          <t>Pendiente</t>
        </is>
      </c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</row>
    <row r="68">
      <c r="A68" s="17" t="inlineStr">
        <is>
          <t>M18</t>
        </is>
      </c>
      <c r="B68" s="7" t="inlineStr">
        <is>
          <t>Comercial</t>
        </is>
      </c>
      <c r="C68" s="21" t="inlineStr">
        <is>
          <t>Capacitación</t>
        </is>
      </c>
      <c r="D68" s="7" t="inlineStr">
        <is>
          <t>Sesión 4 (sáb 17/10): tipos de movimiento, movimientos, kardex e inventario valorizado</t>
        </is>
      </c>
      <c r="E68" s="7" t="inlineStr">
        <is>
          <t>Equipo Comercial (2 personas, por designar)</t>
        </is>
      </c>
      <c r="F68" s="7" t="inlineStr">
        <is>
          <t>Jorman Copete (IngenIA 365)</t>
        </is>
      </c>
      <c r="G68" s="8" t="n">
        <v>46312</v>
      </c>
      <c r="H68" s="8" t="n">
        <v>46312</v>
      </c>
      <c r="I68" s="17">
        <f>H68-G68+1</f>
        <v/>
      </c>
      <c r="J68" s="17" t="inlineStr"/>
      <c r="K68" s="7" t="inlineStr">
        <is>
          <t>Pendiente</t>
        </is>
      </c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</row>
    <row r="69">
      <c r="A69" s="17" t="inlineStr">
        <is>
          <t>N14</t>
        </is>
      </c>
      <c r="B69" s="7" t="inlineStr">
        <is>
          <t>Nómina</t>
        </is>
      </c>
      <c r="C69" s="18" t="inlineStr">
        <is>
          <t>Preparación y parametrización</t>
        </is>
      </c>
      <c r="D69" s="7" t="inlineStr">
        <is>
          <t>Cuentas contables por concepto (dependencia de Contabilidad)</t>
        </is>
      </c>
      <c r="E69" s="7" t="inlineStr">
        <is>
          <t>Equipo Nómina (2 personas, por designar) + Contadora Rafaela Lastra España</t>
        </is>
      </c>
      <c r="F69" s="7" t="inlineStr">
        <is>
          <t>Jorman Copete (IngenIA 365)</t>
        </is>
      </c>
      <c r="G69" s="8" t="n">
        <v>46314</v>
      </c>
      <c r="H69" s="8" t="n">
        <v>46318</v>
      </c>
      <c r="I69" s="17">
        <f>H69-G69+1</f>
        <v/>
      </c>
      <c r="J69" s="17" t="inlineStr"/>
      <c r="K69" s="7" t="inlineStr">
        <is>
          <t>Pendiente</t>
        </is>
      </c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</row>
    <row r="70">
      <c r="A70" s="17" t="inlineStr">
        <is>
          <t>C13</t>
        </is>
      </c>
      <c r="B70" s="7" t="inlineStr">
        <is>
          <t>Contabilidad</t>
        </is>
      </c>
      <c r="C70" s="18" t="inlineStr">
        <is>
          <t>Preparación y parametrización</t>
        </is>
      </c>
      <c r="D70" s="7" t="inlineStr">
        <is>
          <t>Cuentas contables por concepto de nómina (con Nómina)</t>
        </is>
      </c>
      <c r="E70" s="7" t="inlineStr">
        <is>
          <t>Contadora Rafaela Lastra España + Equipo Nómina (2 personas, por designar)</t>
        </is>
      </c>
      <c r="F70" s="7" t="inlineStr">
        <is>
          <t>Jorman Copete (IngenIA 365)</t>
        </is>
      </c>
      <c r="G70" s="8" t="n">
        <v>46314</v>
      </c>
      <c r="H70" s="8" t="n">
        <v>46318</v>
      </c>
      <c r="I70" s="17">
        <f>H70-G70+1</f>
        <v/>
      </c>
      <c r="J70" s="17" t="inlineStr"/>
      <c r="K70" s="7" t="inlineStr">
        <is>
          <t>Pendiente</t>
        </is>
      </c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</row>
    <row r="71">
      <c r="A71" s="17" t="inlineStr">
        <is>
          <t>M10</t>
        </is>
      </c>
      <c r="B71" s="7" t="inlineStr">
        <is>
          <t>Comercial</t>
        </is>
      </c>
      <c r="C71" s="18" t="inlineStr">
        <is>
          <t>Preparación y parametrización</t>
        </is>
      </c>
      <c r="D71" s="7" t="inlineStr">
        <is>
          <t>Tesorería: conceptos, bancos y cheques</t>
        </is>
      </c>
      <c r="E71" s="7" t="inlineStr">
        <is>
          <t>Equipo Comercial (2 personas, por designar)</t>
        </is>
      </c>
      <c r="F71" s="7" t="inlineStr">
        <is>
          <t>Jorman Copete (IngenIA 365)</t>
        </is>
      </c>
      <c r="G71" s="8" t="n">
        <v>46314</v>
      </c>
      <c r="H71" s="8" t="n">
        <v>46318</v>
      </c>
      <c r="I71" s="17">
        <f>H71-G71+1</f>
        <v/>
      </c>
      <c r="J71" s="17" t="inlineStr"/>
      <c r="K71" s="7" t="inlineStr">
        <is>
          <t>Pendiente</t>
        </is>
      </c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</row>
    <row r="72">
      <c r="A72" s="17" t="inlineStr">
        <is>
          <t>M11</t>
        </is>
      </c>
      <c r="B72" s="7" t="inlineStr">
        <is>
          <t>Comercial</t>
        </is>
      </c>
      <c r="C72" s="18" t="inlineStr">
        <is>
          <t>Preparación y parametrización</t>
        </is>
      </c>
      <c r="D72" s="7" t="inlineStr">
        <is>
          <t>Terceros: clientes y proveedores (con Contabilidad)</t>
        </is>
      </c>
      <c r="E72" s="7" t="inlineStr">
        <is>
          <t>Equipo Comercial (2 personas, por designar)</t>
        </is>
      </c>
      <c r="F72" s="7" t="inlineStr">
        <is>
          <t>Jorman Copete (IngenIA 365)</t>
        </is>
      </c>
      <c r="G72" s="8" t="n">
        <v>46314</v>
      </c>
      <c r="H72" s="8" t="n">
        <v>46318</v>
      </c>
      <c r="I72" s="17">
        <f>H72-G72+1</f>
        <v/>
      </c>
      <c r="J72" s="17" t="inlineStr"/>
      <c r="K72" s="7" t="inlineStr">
        <is>
          <t>Pendiente</t>
        </is>
      </c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</row>
    <row r="73">
      <c r="A73" s="17" t="inlineStr">
        <is>
          <t>C14</t>
        </is>
      </c>
      <c r="B73" s="7" t="inlineStr">
        <is>
          <t>Contabilidad</t>
        </is>
      </c>
      <c r="C73" s="18" t="inlineStr">
        <is>
          <t>Preparación y parametrización</t>
        </is>
      </c>
      <c r="D73" s="7" t="inlineStr">
        <is>
          <t>Cuentas contables para Cartera y Comercial</t>
        </is>
      </c>
      <c r="E73" s="7" t="inlineStr">
        <is>
          <t>Contadora Rafaela Lastra España</t>
        </is>
      </c>
      <c r="F73" s="7" t="inlineStr">
        <is>
          <t>Jorman Copete (IngenIA 365)</t>
        </is>
      </c>
      <c r="G73" s="8" t="n">
        <v>46315</v>
      </c>
      <c r="H73" s="8" t="n">
        <v>46325</v>
      </c>
      <c r="I73" s="17">
        <f>H73-G73+1</f>
        <v/>
      </c>
      <c r="J73" s="17" t="inlineStr"/>
      <c r="K73" s="7" t="inlineStr">
        <is>
          <t>Pendiente</t>
        </is>
      </c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</row>
    <row r="74">
      <c r="A74" s="17" t="inlineStr">
        <is>
          <t>C22</t>
        </is>
      </c>
      <c r="B74" s="7" t="inlineStr">
        <is>
          <t>Contabilidad</t>
        </is>
      </c>
      <c r="C74" s="21" t="inlineStr">
        <is>
          <t>Capacitación</t>
        </is>
      </c>
      <c r="D74" s="7" t="inlineStr">
        <is>
          <t>Sesión 5 (sáb 24/10): nómina (NM), cuentas de cartera e inventario; protocolo del paralelo</t>
        </is>
      </c>
      <c r="E74" s="7" t="inlineStr">
        <is>
          <t>Contadora Rafaela Lastra España + auxiliar contable (por designar)</t>
        </is>
      </c>
      <c r="F74" s="7" t="inlineStr">
        <is>
          <t>Jorman Copete (IngenIA 365)</t>
        </is>
      </c>
      <c r="G74" s="8" t="n">
        <v>46319</v>
      </c>
      <c r="H74" s="8" t="n">
        <v>46319</v>
      </c>
      <c r="I74" s="17">
        <f>H74-G74+1</f>
        <v/>
      </c>
      <c r="J74" s="17" t="inlineStr"/>
      <c r="K74" s="7" t="inlineStr">
        <is>
          <t>Pendiente</t>
        </is>
      </c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</row>
    <row r="75">
      <c r="A75" s="17" t="inlineStr">
        <is>
          <t>M19</t>
        </is>
      </c>
      <c r="B75" s="7" t="inlineStr">
        <is>
          <t>Comercial</t>
        </is>
      </c>
      <c r="C75" s="21" t="inlineStr">
        <is>
          <t>Capacitación</t>
        </is>
      </c>
      <c r="D75" s="7" t="inlineStr">
        <is>
          <t>Sesión 5 (sáb 24/10): facturación y tesorería (cheques, facturas CxP/CxC, flujo de caja)</t>
        </is>
      </c>
      <c r="E75" s="7" t="inlineStr">
        <is>
          <t>Equipo Comercial (2 personas, por designar)</t>
        </is>
      </c>
      <c r="F75" s="7" t="inlineStr">
        <is>
          <t>Jorman Copete (IngenIA 365)</t>
        </is>
      </c>
      <c r="G75" s="8" t="n">
        <v>46319</v>
      </c>
      <c r="H75" s="8" t="n">
        <v>46319</v>
      </c>
      <c r="I75" s="17">
        <f>H75-G75+1</f>
        <v/>
      </c>
      <c r="J75" s="17" t="inlineStr"/>
      <c r="K75" s="7" t="inlineStr">
        <is>
          <t>Pendiente</t>
        </is>
      </c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</row>
    <row r="76">
      <c r="A76" s="17" t="inlineStr">
        <is>
          <t>K01</t>
        </is>
      </c>
      <c r="B76" s="7" t="inlineStr">
        <is>
          <t>Cartera financiera</t>
        </is>
      </c>
      <c r="C76" s="18" t="inlineStr">
        <is>
          <t>Preparación y parametrización</t>
        </is>
      </c>
      <c r="D76" s="7" t="inlineStr">
        <is>
          <t>Acceso y roles del equipo de cartera</t>
        </is>
      </c>
      <c r="E76" s="7" t="inlineStr">
        <is>
          <t>Equipo Cartera (2 personas, por designar)</t>
        </is>
      </c>
      <c r="F76" s="7" t="inlineStr">
        <is>
          <t>Jorman Copete (IngenIA 365)</t>
        </is>
      </c>
      <c r="G76" s="8" t="n">
        <v>46319</v>
      </c>
      <c r="H76" s="8" t="n">
        <v>46319</v>
      </c>
      <c r="I76" s="17">
        <f>H76-G76+1</f>
        <v/>
      </c>
      <c r="J76" s="17" t="inlineStr"/>
      <c r="K76" s="7" t="inlineStr">
        <is>
          <t>Pendiente</t>
        </is>
      </c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</row>
    <row r="77">
      <c r="A77" s="17" t="inlineStr">
        <is>
          <t>K17</t>
        </is>
      </c>
      <c r="B77" s="7" t="inlineStr">
        <is>
          <t>Cartera financiera</t>
        </is>
      </c>
      <c r="C77" s="21" t="inlineStr">
        <is>
          <t>Capacitación</t>
        </is>
      </c>
      <c r="D77" s="7" t="inlineStr">
        <is>
          <t>Sesión 1 (sáb 24/10): introducción y parámetros (líneas, tasas, códigos, periodicidad, zonas)</t>
        </is>
      </c>
      <c r="E77" s="7" t="inlineStr">
        <is>
          <t>Equipo Cartera (2 personas, por designar)</t>
        </is>
      </c>
      <c r="F77" s="7" t="inlineStr">
        <is>
          <t>Jorman Copete (IngenIA 365)</t>
        </is>
      </c>
      <c r="G77" s="8" t="n">
        <v>46319</v>
      </c>
      <c r="H77" s="8" t="n">
        <v>46319</v>
      </c>
      <c r="I77" s="17">
        <f>H77-G77+1</f>
        <v/>
      </c>
      <c r="J77" s="17" t="inlineStr"/>
      <c r="K77" s="7" t="inlineStr">
        <is>
          <t>Pendiente</t>
        </is>
      </c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</row>
    <row r="78">
      <c r="A78" s="17" t="inlineStr">
        <is>
          <t>K02</t>
        </is>
      </c>
      <c r="B78" s="7" t="inlineStr">
        <is>
          <t>Cartera financiera</t>
        </is>
      </c>
      <c r="C78" s="18" t="inlineStr">
        <is>
          <t>Preparación y parametrización</t>
        </is>
      </c>
      <c r="D78" s="7" t="inlineStr">
        <is>
          <t>Levantamiento de productos de crédito y aportes</t>
        </is>
      </c>
      <c r="E78" s="7" t="inlineStr">
        <is>
          <t>Equipo Cartera (2 personas, por designar) + Gerencia</t>
        </is>
      </c>
      <c r="F78" s="7" t="inlineStr">
        <is>
          <t>Jorman Copete (IngenIA 365)</t>
        </is>
      </c>
      <c r="G78" s="8" t="n">
        <v>46321</v>
      </c>
      <c r="H78" s="8" t="n">
        <v>46323</v>
      </c>
      <c r="I78" s="17">
        <f>H78-G78+1</f>
        <v/>
      </c>
      <c r="J78" s="17" t="inlineStr"/>
      <c r="K78" s="7" t="inlineStr">
        <is>
          <t>Pendiente</t>
        </is>
      </c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</row>
    <row r="79">
      <c r="A79" s="17" t="inlineStr">
        <is>
          <t>C15</t>
        </is>
      </c>
      <c r="B79" s="7" t="inlineStr">
        <is>
          <t>Contabilidad</t>
        </is>
      </c>
      <c r="C79" s="18" t="inlineStr">
        <is>
          <t>Preparación y parametrización</t>
        </is>
      </c>
      <c r="D79" s="7" t="inlineStr">
        <is>
          <t>Parametrizaciones inválidas en cero</t>
        </is>
      </c>
      <c r="E79" s="7" t="inlineStr">
        <is>
          <t>Contadora Rafaela Lastra España + auxiliar contable (por designar)</t>
        </is>
      </c>
      <c r="F79" s="7" t="inlineStr">
        <is>
          <t>Jorman Copete (IngenIA 365)</t>
        </is>
      </c>
      <c r="G79" s="8" t="n">
        <v>46321</v>
      </c>
      <c r="H79" s="8" t="n">
        <v>46325</v>
      </c>
      <c r="I79" s="17">
        <f>H79-G79+1</f>
        <v/>
      </c>
      <c r="J79" s="17" t="inlineStr"/>
      <c r="K79" s="7" t="inlineStr">
        <is>
          <t>Pendiente</t>
        </is>
      </c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</row>
    <row r="80">
      <c r="A80" s="17" t="inlineStr">
        <is>
          <t>K03</t>
        </is>
      </c>
      <c r="B80" s="7" t="inlineStr">
        <is>
          <t>Cartera financiera</t>
        </is>
      </c>
      <c r="C80" s="18" t="inlineStr">
        <is>
          <t>Preparación y parametrización</t>
        </is>
      </c>
      <c r="D80" s="7" t="inlineStr">
        <is>
          <t>Agencias, zonas y tipos de zona</t>
        </is>
      </c>
      <c r="E80" s="7" t="inlineStr">
        <is>
          <t>Equipo Cartera (2 personas, por designar)</t>
        </is>
      </c>
      <c r="F80" s="7" t="inlineStr">
        <is>
          <t>Jorman Copete (IngenIA 365)</t>
        </is>
      </c>
      <c r="G80" s="8" t="n">
        <v>46322</v>
      </c>
      <c r="H80" s="8" t="n">
        <v>46323</v>
      </c>
      <c r="I80" s="17">
        <f>H80-G80+1</f>
        <v/>
      </c>
      <c r="J80" s="17" t="inlineStr"/>
      <c r="K80" s="7" t="inlineStr">
        <is>
          <t>Pendiente</t>
        </is>
      </c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</row>
    <row r="81">
      <c r="A81" s="17" t="inlineStr">
        <is>
          <t>K04</t>
        </is>
      </c>
      <c r="B81" s="7" t="inlineStr">
        <is>
          <t>Cartera financiera</t>
        </is>
      </c>
      <c r="C81" s="18" t="inlineStr">
        <is>
          <t>Preparación y parametrización</t>
        </is>
      </c>
      <c r="D81" s="7" t="inlineStr">
        <is>
          <t>Periodicidad y códigos de movimiento</t>
        </is>
      </c>
      <c r="E81" s="7" t="inlineStr">
        <is>
          <t>Equipo Cartera (2 personas, por designar)</t>
        </is>
      </c>
      <c r="F81" s="7" t="inlineStr">
        <is>
          <t>Jorman Copete (IngenIA 365)</t>
        </is>
      </c>
      <c r="G81" s="8" t="n">
        <v>46322</v>
      </c>
      <c r="H81" s="8" t="n">
        <v>46324</v>
      </c>
      <c r="I81" s="17">
        <f>H81-G81+1</f>
        <v/>
      </c>
      <c r="J81" s="17" t="inlineStr"/>
      <c r="K81" s="7" t="inlineStr">
        <is>
          <t>Pendiente</t>
        </is>
      </c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</row>
    <row r="82">
      <c r="A82" s="17" t="inlineStr">
        <is>
          <t>C16</t>
        </is>
      </c>
      <c r="B82" s="7" t="inlineStr">
        <is>
          <t>Contabilidad</t>
        </is>
      </c>
      <c r="C82" s="18" t="inlineStr">
        <is>
          <t>Preparación y parametrización</t>
        </is>
      </c>
      <c r="D82" s="7" t="inlineStr">
        <is>
          <t>Comprobante de prueba por tipo</t>
        </is>
      </c>
      <c r="E82" s="7" t="inlineStr">
        <is>
          <t>Contadora Rafaela Lastra España + auxiliar contable (por designar)</t>
        </is>
      </c>
      <c r="F82" s="7" t="inlineStr">
        <is>
          <t>Jorman Copete (IngenIA 365)</t>
        </is>
      </c>
      <c r="G82" s="8" t="n">
        <v>46322</v>
      </c>
      <c r="H82" s="8" t="n">
        <v>46325</v>
      </c>
      <c r="I82" s="17">
        <f>H82-G82+1</f>
        <v/>
      </c>
      <c r="J82" s="17" t="inlineStr"/>
      <c r="K82" s="7" t="inlineStr">
        <is>
          <t>Pendiente</t>
        </is>
      </c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</row>
    <row r="83">
      <c r="A83" s="17" t="inlineStr">
        <is>
          <t>M13</t>
        </is>
      </c>
      <c r="B83" s="7" t="inlineStr">
        <is>
          <t>Comercial</t>
        </is>
      </c>
      <c r="C83" s="18" t="inlineStr">
        <is>
          <t>Preparación y parametrización</t>
        </is>
      </c>
      <c r="D83" s="7" t="inlineStr">
        <is>
          <t>Verificación cruzada de la parametrización</t>
        </is>
      </c>
      <c r="E83" s="7" t="inlineStr">
        <is>
          <t>Equipo Comercial (2 personas, por designar) + Gestor del proyecto (por designar)</t>
        </is>
      </c>
      <c r="F83" s="7" t="inlineStr">
        <is>
          <t>Jorman Copete (IngenIA 365)</t>
        </is>
      </c>
      <c r="G83" s="8" t="n">
        <v>46322</v>
      </c>
      <c r="H83" s="8" t="n">
        <v>46325</v>
      </c>
      <c r="I83" s="17">
        <f>H83-G83+1</f>
        <v/>
      </c>
      <c r="J83" s="17" t="inlineStr"/>
      <c r="K83" s="7" t="inlineStr">
        <is>
          <t>Pendiente</t>
        </is>
      </c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</row>
    <row r="84">
      <c r="A84" s="17" t="inlineStr">
        <is>
          <t>K05</t>
        </is>
      </c>
      <c r="B84" s="7" t="inlineStr">
        <is>
          <t>Cartera financiera</t>
        </is>
      </c>
      <c r="C84" s="18" t="inlineStr">
        <is>
          <t>Preparación y parametrización</t>
        </is>
      </c>
      <c r="D84" s="7" t="inlineStr">
        <is>
          <t>Tasas de interés y tasas por plazo</t>
        </is>
      </c>
      <c r="E84" s="7" t="inlineStr">
        <is>
          <t>Equipo Cartera (2 personas, por designar)</t>
        </is>
      </c>
      <c r="F84" s="7" t="inlineStr">
        <is>
          <t>Jorman Copete (IngenIA 365)</t>
        </is>
      </c>
      <c r="G84" s="8" t="n">
        <v>46324</v>
      </c>
      <c r="H84" s="8" t="n">
        <v>46325</v>
      </c>
      <c r="I84" s="17">
        <f>H84-G84+1</f>
        <v/>
      </c>
      <c r="J84" s="17" t="inlineStr"/>
      <c r="K84" s="7" t="inlineStr">
        <is>
          <t>Pendiente</t>
        </is>
      </c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</row>
    <row r="85">
      <c r="A85" s="17" t="inlineStr">
        <is>
          <t>N27</t>
        </is>
      </c>
      <c r="B85" s="7" t="inlineStr">
        <is>
          <t>Nómina</t>
        </is>
      </c>
      <c r="C85" s="22" t="inlineStr">
        <is>
          <t>Paralelo con el aplicativo actual</t>
        </is>
      </c>
      <c r="D85" s="7" t="inlineStr">
        <is>
          <t>Ciclo 2: liquidar, comparar y aprobar la 2ª quincena de octubre</t>
        </is>
      </c>
      <c r="E85" s="7" t="inlineStr">
        <is>
          <t>Equipo Nómina (2 personas, por designar)</t>
        </is>
      </c>
      <c r="F85" s="7" t="inlineStr">
        <is>
          <t>Jorman Copete (IngenIA 365)</t>
        </is>
      </c>
      <c r="G85" s="8" t="n">
        <v>46324</v>
      </c>
      <c r="H85" s="8" t="n">
        <v>46326</v>
      </c>
      <c r="I85" s="17">
        <f>H85-G85+1</f>
        <v/>
      </c>
      <c r="J85" s="17" t="inlineStr"/>
      <c r="K85" s="7" t="inlineStr">
        <is>
          <t>Pendiente</t>
        </is>
      </c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</row>
    <row r="86">
      <c r="A86" s="17" t="inlineStr">
        <is>
          <t>M12</t>
        </is>
      </c>
      <c r="B86" s="7" t="inlineStr">
        <is>
          <t>Comercial</t>
        </is>
      </c>
      <c r="C86" s="18" t="inlineStr">
        <is>
          <t>Preparación y parametrización</t>
        </is>
      </c>
      <c r="D86" s="7" t="inlineStr">
        <is>
          <t>Inventario inicial de prueba al 31/10</t>
        </is>
      </c>
      <c r="E86" s="7" t="inlineStr">
        <is>
          <t>Equipo Comercial (2 personas, por designar)</t>
        </is>
      </c>
      <c r="F86" s="7" t="inlineStr">
        <is>
          <t>Jorman Copete (IngenIA 365)</t>
        </is>
      </c>
      <c r="G86" s="8" t="n">
        <v>46324</v>
      </c>
      <c r="H86" s="8" t="n">
        <v>46326</v>
      </c>
      <c r="I86" s="17">
        <f>H86-G86+1</f>
        <v/>
      </c>
      <c r="J86" s="17" t="inlineStr"/>
      <c r="K86" s="7" t="inlineStr">
        <is>
          <t>Pendiente</t>
        </is>
      </c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</row>
    <row r="87">
      <c r="A87" s="17" t="inlineStr">
        <is>
          <t>K06</t>
        </is>
      </c>
      <c r="B87" s="7" t="inlineStr">
        <is>
          <t>Cartera financiera</t>
        </is>
      </c>
      <c r="C87" s="18" t="inlineStr">
        <is>
          <t>Preparación y parametrización</t>
        </is>
      </c>
      <c r="D87" s="7" t="inlineStr">
        <is>
          <t>Líneas de crédito</t>
        </is>
      </c>
      <c r="E87" s="7" t="inlineStr">
        <is>
          <t>Equipo Cartera (2 personas, por designar)</t>
        </is>
      </c>
      <c r="F87" s="7" t="inlineStr">
        <is>
          <t>Jorman Copete (IngenIA 365)</t>
        </is>
      </c>
      <c r="G87" s="8" t="n">
        <v>46324</v>
      </c>
      <c r="H87" s="8" t="n">
        <v>46329</v>
      </c>
      <c r="I87" s="17">
        <f>H87-G87+1</f>
        <v/>
      </c>
      <c r="J87" s="17" t="inlineStr"/>
      <c r="K87" s="7" t="inlineStr">
        <is>
          <t>Pendiente</t>
        </is>
      </c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</row>
    <row r="88">
      <c r="A88" s="27" t="inlineStr">
        <is>
          <t>C17</t>
        </is>
      </c>
      <c r="B88" s="7" t="inlineStr">
        <is>
          <t>Contabilidad</t>
        </is>
      </c>
      <c r="C88" s="18" t="inlineStr">
        <is>
          <t>Preparación y parametrización</t>
        </is>
      </c>
      <c r="D88" s="28" t="inlineStr">
        <is>
          <t>◆ HITO — Fin de parametrización de Contabilidad</t>
        </is>
      </c>
      <c r="E88" s="7" t="inlineStr">
        <is>
          <t>Contadora Rafaela Lastra España</t>
        </is>
      </c>
      <c r="F88" s="7" t="inlineStr">
        <is>
          <t>Jorman Copete (IngenIA 365)</t>
        </is>
      </c>
      <c r="G88" s="8" t="n">
        <v>46326</v>
      </c>
      <c r="H88" s="8" t="n">
        <v>46326</v>
      </c>
      <c r="I88" s="17">
        <f>H88-G88+1</f>
        <v/>
      </c>
      <c r="J88" s="19" t="inlineStr">
        <is>
          <t>◆</t>
        </is>
      </c>
      <c r="K88" s="7" t="inlineStr">
        <is>
          <t>Pendiente</t>
        </is>
      </c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</row>
    <row r="89">
      <c r="A89" s="17" t="inlineStr">
        <is>
          <t>C23</t>
        </is>
      </c>
      <c r="B89" s="7" t="inlineStr">
        <is>
          <t>Contabilidad</t>
        </is>
      </c>
      <c r="C89" s="21" t="inlineStr">
        <is>
          <t>Capacitación</t>
        </is>
      </c>
      <c r="D89" s="7" t="inlineStr">
        <is>
          <t>Sesión 6 (sáb 31/10): cierre de parametrización, muestra del paralelo y bitácora de diferencias</t>
        </is>
      </c>
      <c r="E89" s="7" t="inlineStr">
        <is>
          <t>Contadora Rafaela Lastra España + auxiliar contable (por designar)</t>
        </is>
      </c>
      <c r="F89" s="7" t="inlineStr">
        <is>
          <t>Jorman Copete (IngenIA 365)</t>
        </is>
      </c>
      <c r="G89" s="8" t="n">
        <v>46326</v>
      </c>
      <c r="H89" s="8" t="n">
        <v>46326</v>
      </c>
      <c r="I89" s="17">
        <f>H89-G89+1</f>
        <v/>
      </c>
      <c r="J89" s="17" t="inlineStr"/>
      <c r="K89" s="7" t="inlineStr">
        <is>
          <t>Pendiente</t>
        </is>
      </c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</row>
    <row r="90">
      <c r="A90" s="27" t="inlineStr">
        <is>
          <t>M14</t>
        </is>
      </c>
      <c r="B90" s="7" t="inlineStr">
        <is>
          <t>Comercial</t>
        </is>
      </c>
      <c r="C90" s="18" t="inlineStr">
        <is>
          <t>Preparación y parametrización</t>
        </is>
      </c>
      <c r="D90" s="28" t="inlineStr">
        <is>
          <t>◆ HITO — Fin de parametrización de Comercial</t>
        </is>
      </c>
      <c r="E90" s="7" t="inlineStr">
        <is>
          <t>Gestor del proyecto (por designar)</t>
        </is>
      </c>
      <c r="F90" s="7" t="inlineStr">
        <is>
          <t>Jorman Copete (IngenIA 365)</t>
        </is>
      </c>
      <c r="G90" s="8" t="n">
        <v>46326</v>
      </c>
      <c r="H90" s="8" t="n">
        <v>46326</v>
      </c>
      <c r="I90" s="17">
        <f>H90-G90+1</f>
        <v/>
      </c>
      <c r="J90" s="19" t="inlineStr">
        <is>
          <t>◆</t>
        </is>
      </c>
      <c r="K90" s="7" t="inlineStr">
        <is>
          <t>Pendiente</t>
        </is>
      </c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</row>
    <row r="91">
      <c r="A91" s="17" t="inlineStr">
        <is>
          <t>M20</t>
        </is>
      </c>
      <c r="B91" s="7" t="inlineStr">
        <is>
          <t>Comercial</t>
        </is>
      </c>
      <c r="C91" s="21" t="inlineStr">
        <is>
          <t>Capacitación</t>
        </is>
      </c>
      <c r="D91" s="7" t="inlineStr">
        <is>
          <t>Sesión 6 (sáb 31/10): cierre de parametrización, muestra del paralelo y bitácora</t>
        </is>
      </c>
      <c r="E91" s="7" t="inlineStr">
        <is>
          <t>Equipo Comercial (2 personas, por designar)</t>
        </is>
      </c>
      <c r="F91" s="7" t="inlineStr">
        <is>
          <t>Jorman Copete (IngenIA 365)</t>
        </is>
      </c>
      <c r="G91" s="8" t="n">
        <v>46326</v>
      </c>
      <c r="H91" s="8" t="n">
        <v>46326</v>
      </c>
      <c r="I91" s="17">
        <f>H91-G91+1</f>
        <v/>
      </c>
      <c r="J91" s="17" t="inlineStr"/>
      <c r="K91" s="7" t="inlineStr">
        <is>
          <t>Pendiente</t>
        </is>
      </c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</row>
    <row r="92">
      <c r="A92" s="17" t="inlineStr">
        <is>
          <t>K18</t>
        </is>
      </c>
      <c r="B92" s="7" t="inlineStr">
        <is>
          <t>Cartera financiera</t>
        </is>
      </c>
      <c r="C92" s="21" t="inlineStr">
        <is>
          <t>Capacitación</t>
        </is>
      </c>
      <c r="D92" s="7" t="inlineStr">
        <is>
          <t>Sesión 2 (sáb 31/10): asociados, aportes, solicitudes de crédito y aprobación</t>
        </is>
      </c>
      <c r="E92" s="7" t="inlineStr">
        <is>
          <t>Equipo Cartera (2 personas, por designar)</t>
        </is>
      </c>
      <c r="F92" s="7" t="inlineStr">
        <is>
          <t>Jorman Copete (IngenIA 365)</t>
        </is>
      </c>
      <c r="G92" s="8" t="n">
        <v>46326</v>
      </c>
      <c r="H92" s="8" t="n">
        <v>46326</v>
      </c>
      <c r="I92" s="17">
        <f>H92-G92+1</f>
        <v/>
      </c>
      <c r="J92" s="17" t="inlineStr"/>
      <c r="K92" s="7" t="inlineStr">
        <is>
          <t>Pendiente</t>
        </is>
      </c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</row>
    <row r="93">
      <c r="A93" s="17" t="inlineStr">
        <is>
          <t>C32</t>
        </is>
      </c>
      <c r="B93" s="7" t="inlineStr">
        <is>
          <t>Contabilidad</t>
        </is>
      </c>
      <c r="C93" s="22" t="inlineStr">
        <is>
          <t>Paralelo con el aplicativo actual</t>
        </is>
      </c>
      <c r="D93" s="7" t="inlineStr">
        <is>
          <t>Entrega E2: informes contables y estados financieros (dependencia del proveedor)</t>
        </is>
      </c>
      <c r="E93" s="7" t="inlineStr">
        <is>
          <t>IngenIA 365 (desarrollo)</t>
        </is>
      </c>
      <c r="F93" s="7" t="inlineStr">
        <is>
          <t>IngenIA 365 (desarrollo)</t>
        </is>
      </c>
      <c r="G93" s="8" t="n">
        <v>46328</v>
      </c>
      <c r="H93" s="8" t="n">
        <v>46354</v>
      </c>
      <c r="I93" s="17">
        <f>H93-G93+1</f>
        <v/>
      </c>
      <c r="J93" s="17" t="inlineStr"/>
      <c r="K93" s="7" t="inlineStr">
        <is>
          <t>Pendiente</t>
        </is>
      </c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</row>
    <row r="94">
      <c r="A94" s="17" t="inlineStr">
        <is>
          <t>C34</t>
        </is>
      </c>
      <c r="B94" s="7" t="inlineStr">
        <is>
          <t>Contabilidad</t>
        </is>
      </c>
      <c r="C94" s="22" t="inlineStr">
        <is>
          <t>Paralelo con el aplicativo actual</t>
        </is>
      </c>
      <c r="D94" s="7" t="inlineStr">
        <is>
          <t>Entrega E3: integración contable automática de Cartera, Inventario/Comercial, Tesorería y CDT (dependencia del proveedor)</t>
        </is>
      </c>
      <c r="E94" s="7" t="inlineStr">
        <is>
          <t>IngenIA 365 (desarrollo)</t>
        </is>
      </c>
      <c r="F94" s="7" t="inlineStr">
        <is>
          <t>IngenIA 365 (desarrollo)</t>
        </is>
      </c>
      <c r="G94" s="8" t="n">
        <v>46328</v>
      </c>
      <c r="H94" s="8" t="n">
        <v>46354</v>
      </c>
      <c r="I94" s="17">
        <f>H94-G94+1</f>
        <v/>
      </c>
      <c r="J94" s="17" t="inlineStr"/>
      <c r="K94" s="7" t="inlineStr">
        <is>
          <t>Pendiente</t>
        </is>
      </c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</row>
    <row r="95">
      <c r="A95" s="17" t="inlineStr">
        <is>
          <t>N28</t>
        </is>
      </c>
      <c r="B95" s="7" t="inlineStr">
        <is>
          <t>Nómina</t>
        </is>
      </c>
      <c r="C95" s="22" t="inlineStr">
        <is>
          <t>Paralelo con el aplicativo actual</t>
        </is>
      </c>
      <c r="D95" s="7" t="inlineStr">
        <is>
          <t>Ciclo 2: verificar el primer comprobante NM con Contabilidad</t>
        </is>
      </c>
      <c r="E95" s="7" t="inlineStr">
        <is>
          <t>Contadora Rafaela Lastra España + Equipo Nómina (2 personas, por designar)</t>
        </is>
      </c>
      <c r="F95" s="7" t="inlineStr">
        <is>
          <t>Jorman Copete (IngenIA 365)</t>
        </is>
      </c>
      <c r="G95" s="8" t="n">
        <v>46329</v>
      </c>
      <c r="H95" s="8" t="n">
        <v>46330</v>
      </c>
      <c r="I95" s="17">
        <f>H95-G95+1</f>
        <v/>
      </c>
      <c r="J95" s="17" t="inlineStr"/>
      <c r="K95" s="7" t="inlineStr">
        <is>
          <t>Pendiente</t>
        </is>
      </c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</row>
    <row r="96">
      <c r="A96" s="17" t="inlineStr">
        <is>
          <t>C25</t>
        </is>
      </c>
      <c r="B96" s="7" t="inlineStr">
        <is>
          <t>Contabilidad</t>
        </is>
      </c>
      <c r="C96" s="22" t="inlineStr">
        <is>
          <t>Paralelo con el aplicativo actual</t>
        </is>
      </c>
      <c r="D96" s="7" t="inlineStr">
        <is>
          <t>Muestra de transacciones del paralelo</t>
        </is>
      </c>
      <c r="E96" s="7" t="inlineStr">
        <is>
          <t>Contadora Rafaela Lastra España + Gestor del proyecto (por designar)</t>
        </is>
      </c>
      <c r="F96" s="7" t="inlineStr">
        <is>
          <t>Jorman Copete (IngenIA 365)</t>
        </is>
      </c>
      <c r="G96" s="8" t="n">
        <v>46329</v>
      </c>
      <c r="H96" s="8" t="n">
        <v>46330</v>
      </c>
      <c r="I96" s="17">
        <f>H96-G96+1</f>
        <v/>
      </c>
      <c r="J96" s="17" t="inlineStr"/>
      <c r="K96" s="7" t="inlineStr">
        <is>
          <t>Pendiente</t>
        </is>
      </c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</row>
    <row r="97">
      <c r="A97" s="17" t="inlineStr">
        <is>
          <t>M22</t>
        </is>
      </c>
      <c r="B97" s="7" t="inlineStr">
        <is>
          <t>Comercial</t>
        </is>
      </c>
      <c r="C97" s="22" t="inlineStr">
        <is>
          <t>Paralelo con el aplicativo actual</t>
        </is>
      </c>
      <c r="D97" s="7" t="inlineStr">
        <is>
          <t>Muestra de transacciones del paralelo</t>
        </is>
      </c>
      <c r="E97" s="7" t="inlineStr">
        <is>
          <t>Equipo Comercial (2 personas, por designar) + Gestor del proyecto (por designar)</t>
        </is>
      </c>
      <c r="F97" s="7" t="inlineStr">
        <is>
          <t>Jorman Copete (IngenIA 365)</t>
        </is>
      </c>
      <c r="G97" s="8" t="n">
        <v>46329</v>
      </c>
      <c r="H97" s="8" t="n">
        <v>46330</v>
      </c>
      <c r="I97" s="17">
        <f>H97-G97+1</f>
        <v/>
      </c>
      <c r="J97" s="17" t="inlineStr"/>
      <c r="K97" s="7" t="inlineStr">
        <is>
          <t>Pendiente</t>
        </is>
      </c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</row>
    <row r="98">
      <c r="A98" s="17" t="inlineStr">
        <is>
          <t>K07</t>
        </is>
      </c>
      <c r="B98" s="7" t="inlineStr">
        <is>
          <t>Cartera financiera</t>
        </is>
      </c>
      <c r="C98" s="18" t="inlineStr">
        <is>
          <t>Preparación y parametrización</t>
        </is>
      </c>
      <c r="D98" s="7" t="inlineStr">
        <is>
          <t>Parámetros de provisión y calificación</t>
        </is>
      </c>
      <c r="E98" s="7" t="inlineStr">
        <is>
          <t>Equipo Cartera (2 personas, por designar) + Contadora Rafaela Lastra España</t>
        </is>
      </c>
      <c r="F98" s="7" t="inlineStr">
        <is>
          <t>Jorman Copete (IngenIA 365)</t>
        </is>
      </c>
      <c r="G98" s="8" t="n">
        <v>46329</v>
      </c>
      <c r="H98" s="8" t="n">
        <v>46330</v>
      </c>
      <c r="I98" s="17">
        <f>H98-G98+1</f>
        <v/>
      </c>
      <c r="J98" s="17" t="inlineStr"/>
      <c r="K98" s="7" t="inlineStr">
        <is>
          <t>Pendiente</t>
        </is>
      </c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</row>
    <row r="99">
      <c r="A99" s="17" t="inlineStr">
        <is>
          <t>K08</t>
        </is>
      </c>
      <c r="B99" s="7" t="inlineStr">
        <is>
          <t>Cartera financiera</t>
        </is>
      </c>
      <c r="C99" s="18" t="inlineStr">
        <is>
          <t>Preparación y parametrización</t>
        </is>
      </c>
      <c r="D99" s="7" t="inlineStr">
        <is>
          <t>Parámetros de aportes sociales</t>
        </is>
      </c>
      <c r="E99" s="7" t="inlineStr">
        <is>
          <t>Equipo Cartera (2 personas, por designar)</t>
        </is>
      </c>
      <c r="F99" s="7" t="inlineStr">
        <is>
          <t>Jorman Copete (IngenIA 365)</t>
        </is>
      </c>
      <c r="G99" s="8" t="n">
        <v>46329</v>
      </c>
      <c r="H99" s="8" t="n">
        <v>46330</v>
      </c>
      <c r="I99" s="17">
        <f>H99-G99+1</f>
        <v/>
      </c>
      <c r="J99" s="17" t="inlineStr"/>
      <c r="K99" s="7" t="inlineStr">
        <is>
          <t>Pendiente</t>
        </is>
      </c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</row>
    <row r="100">
      <c r="A100" s="17" t="inlineStr">
        <is>
          <t>K13</t>
        </is>
      </c>
      <c r="B100" s="7" t="inlineStr">
        <is>
          <t>Cartera financiera</t>
        </is>
      </c>
      <c r="C100" s="18" t="inlineStr">
        <is>
          <t>Preparación y parametrización</t>
        </is>
      </c>
      <c r="D100" s="7" t="inlineStr">
        <is>
          <t>Registro de asociados para la muestra</t>
        </is>
      </c>
      <c r="E100" s="7" t="inlineStr">
        <is>
          <t>Equipo Cartera (2 personas, por designar)</t>
        </is>
      </c>
      <c r="F100" s="7" t="inlineStr">
        <is>
          <t>Jorman Copete (IngenIA 365)</t>
        </is>
      </c>
      <c r="G100" s="8" t="n">
        <v>46329</v>
      </c>
      <c r="H100" s="8" t="n">
        <v>46336</v>
      </c>
      <c r="I100" s="17">
        <f>H100-G100+1</f>
        <v/>
      </c>
      <c r="J100" s="17" t="inlineStr"/>
      <c r="K100" s="7" t="inlineStr">
        <is>
          <t>Pendiente</t>
        </is>
      </c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</row>
    <row r="101">
      <c r="A101" s="17" t="inlineStr">
        <is>
          <t>N30</t>
        </is>
      </c>
      <c r="B101" s="7" t="inlineStr">
        <is>
          <t>Nómina</t>
        </is>
      </c>
      <c r="C101" s="22" t="inlineStr">
        <is>
          <t>Paralelo con el aplicativo actual</t>
        </is>
      </c>
      <c r="D101" s="7" t="inlineStr">
        <is>
          <t>Ciclo 3: novedades de la 1ª quincena de noviembre</t>
        </is>
      </c>
      <c r="E101" s="7" t="inlineStr">
        <is>
          <t>Equipo Nómina (2 personas, por designar)</t>
        </is>
      </c>
      <c r="F101" s="7" t="inlineStr">
        <is>
          <t>Jorman Copete (IngenIA 365)</t>
        </is>
      </c>
      <c r="G101" s="8" t="n">
        <v>46329</v>
      </c>
      <c r="H101" s="8" t="n">
        <v>46338</v>
      </c>
      <c r="I101" s="17">
        <f>H101-G101+1</f>
        <v/>
      </c>
      <c r="J101" s="17" t="inlineStr"/>
      <c r="K101" s="7" t="inlineStr">
        <is>
          <t>Pendiente</t>
        </is>
      </c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</row>
    <row r="102">
      <c r="A102" s="17" t="inlineStr">
        <is>
          <t>C26</t>
        </is>
      </c>
      <c r="B102" s="7" t="inlineStr">
        <is>
          <t>Contabilidad</t>
        </is>
      </c>
      <c r="C102" s="22" t="inlineStr">
        <is>
          <t>Paralelo con el aplicativo actual</t>
        </is>
      </c>
      <c r="D102" s="7" t="inlineStr">
        <is>
          <t>Ciclo 1: digitar y contabilizar la muestra (1 al 14/11)</t>
        </is>
      </c>
      <c r="E102" s="7" t="inlineStr">
        <is>
          <t>Contadora Rafaela Lastra España + auxiliar contable (por designar)</t>
        </is>
      </c>
      <c r="F102" s="7" t="inlineStr">
        <is>
          <t>Jorman Copete (IngenIA 365)</t>
        </is>
      </c>
      <c r="G102" s="8" t="n">
        <v>46329</v>
      </c>
      <c r="H102" s="8" t="n">
        <v>46339</v>
      </c>
      <c r="I102" s="17">
        <f>H102-G102+1</f>
        <v/>
      </c>
      <c r="J102" s="17" t="inlineStr"/>
      <c r="K102" s="7" t="inlineStr">
        <is>
          <t>Pendiente</t>
        </is>
      </c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</row>
    <row r="103">
      <c r="A103" s="17" t="inlineStr">
        <is>
          <t>M23</t>
        </is>
      </c>
      <c r="B103" s="7" t="inlineStr">
        <is>
          <t>Comercial</t>
        </is>
      </c>
      <c r="C103" s="22" t="inlineStr">
        <is>
          <t>Paralelo con el aplicativo actual</t>
        </is>
      </c>
      <c r="D103" s="7" t="inlineStr">
        <is>
          <t>Ciclo 1: registrar los movimientos de la muestra (1 al 14/11)</t>
        </is>
      </c>
      <c r="E103" s="7" t="inlineStr">
        <is>
          <t>Equipo Comercial (2 personas, por designar)</t>
        </is>
      </c>
      <c r="F103" s="7" t="inlineStr">
        <is>
          <t>Jorman Copete (IngenIA 365)</t>
        </is>
      </c>
      <c r="G103" s="8" t="n">
        <v>46329</v>
      </c>
      <c r="H103" s="8" t="n">
        <v>46339</v>
      </c>
      <c r="I103" s="17">
        <f>H103-G103+1</f>
        <v/>
      </c>
      <c r="J103" s="17" t="inlineStr"/>
      <c r="K103" s="7" t="inlineStr">
        <is>
          <t>Pendiente</t>
        </is>
      </c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</row>
    <row r="104">
      <c r="A104" s="17" t="inlineStr">
        <is>
          <t>M27</t>
        </is>
      </c>
      <c r="B104" s="7" t="inlineStr">
        <is>
          <t>Comercial</t>
        </is>
      </c>
      <c r="C104" s="22" t="inlineStr">
        <is>
          <t>Paralelo con el aplicativo actual</t>
        </is>
      </c>
      <c r="D104" s="7" t="inlineStr">
        <is>
          <t>Facturación: datos del emisor, numeración e impuestos</t>
        </is>
      </c>
      <c r="E104" s="7" t="inlineStr">
        <is>
          <t>Equipo Comercial (2 personas, por designar)</t>
        </is>
      </c>
      <c r="F104" s="7" t="inlineStr">
        <is>
          <t>Jorman Copete (IngenIA 365)</t>
        </is>
      </c>
      <c r="G104" s="8" t="n">
        <v>46329</v>
      </c>
      <c r="H104" s="8" t="n">
        <v>46339</v>
      </c>
      <c r="I104" s="17">
        <f>H104-G104+1</f>
        <v/>
      </c>
      <c r="J104" s="17" t="inlineStr"/>
      <c r="K104" s="7" t="inlineStr">
        <is>
          <t>Pendiente</t>
        </is>
      </c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</row>
    <row r="105">
      <c r="A105" s="27" t="inlineStr">
        <is>
          <t>N29</t>
        </is>
      </c>
      <c r="B105" s="7" t="inlineStr">
        <is>
          <t>Nómina</t>
        </is>
      </c>
      <c r="C105" s="22" t="inlineStr">
        <is>
          <t>Paralelo con el aplicativo actual</t>
        </is>
      </c>
      <c r="D105" s="28" t="inlineStr">
        <is>
          <t>◆ HITO — Primer comprobante contable de nómina (NM) verificado</t>
        </is>
      </c>
      <c r="E105" s="7" t="inlineStr">
        <is>
          <t>Contadora Rafaela Lastra España</t>
        </is>
      </c>
      <c r="F105" s="7" t="inlineStr">
        <is>
          <t>Jorman Copete (IngenIA 365)</t>
        </is>
      </c>
      <c r="G105" s="8" t="n">
        <v>46330</v>
      </c>
      <c r="H105" s="8" t="n">
        <v>46330</v>
      </c>
      <c r="I105" s="17">
        <f>H105-G105+1</f>
        <v/>
      </c>
      <c r="J105" s="19" t="inlineStr">
        <is>
          <t>◆</t>
        </is>
      </c>
      <c r="K105" s="7" t="inlineStr">
        <is>
          <t>Pendiente</t>
        </is>
      </c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</row>
    <row r="106">
      <c r="A106" s="17" t="inlineStr">
        <is>
          <t>K22</t>
        </is>
      </c>
      <c r="B106" s="7" t="inlineStr">
        <is>
          <t>Cartera financiera</t>
        </is>
      </c>
      <c r="C106" s="21" t="inlineStr">
        <is>
          <t>Capacitación</t>
        </is>
      </c>
      <c r="D106" s="7" t="inlineStr">
        <is>
          <t>Sesión entre semana (mié 04/11, día por acordar): acompañamiento en parametrización</t>
        </is>
      </c>
      <c r="E106" s="7" t="inlineStr">
        <is>
          <t>Equipo Cartera (2 personas, por designar)</t>
        </is>
      </c>
      <c r="F106" s="7" t="inlineStr">
        <is>
          <t>Jorman Copete (IngenIA 365)</t>
        </is>
      </c>
      <c r="G106" s="8" t="n">
        <v>46330</v>
      </c>
      <c r="H106" s="8" t="n">
        <v>46330</v>
      </c>
      <c r="I106" s="17">
        <f>H106-G106+1</f>
        <v/>
      </c>
      <c r="J106" s="17" t="inlineStr"/>
      <c r="K106" s="7" t="inlineStr">
        <is>
          <t>Pendiente</t>
        </is>
      </c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</row>
    <row r="107">
      <c r="A107" s="17" t="inlineStr">
        <is>
          <t>K09</t>
        </is>
      </c>
      <c r="B107" s="7" t="inlineStr">
        <is>
          <t>Cartera financiera</t>
        </is>
      </c>
      <c r="C107" s="18" t="inlineStr">
        <is>
          <t>Preparación y parametrización</t>
        </is>
      </c>
      <c r="D107" s="7" t="inlineStr">
        <is>
          <t>Conceptos de descuento y estados de retiro</t>
        </is>
      </c>
      <c r="E107" s="7" t="inlineStr">
        <is>
          <t>Equipo Cartera (2 personas, por designar)</t>
        </is>
      </c>
      <c r="F107" s="7" t="inlineStr">
        <is>
          <t>Jorman Copete (IngenIA 365)</t>
        </is>
      </c>
      <c r="G107" s="8" t="n">
        <v>46330</v>
      </c>
      <c r="H107" s="8" t="n">
        <v>46331</v>
      </c>
      <c r="I107" s="17">
        <f>H107-G107+1</f>
        <v/>
      </c>
      <c r="J107" s="17" t="inlineStr"/>
      <c r="K107" s="7" t="inlineStr">
        <is>
          <t>Pendiente</t>
        </is>
      </c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</row>
    <row r="108">
      <c r="A108" s="17" t="inlineStr">
        <is>
          <t>K10</t>
        </is>
      </c>
      <c r="B108" s="7" t="inlineStr">
        <is>
          <t>Cartera financiera</t>
        </is>
      </c>
      <c r="C108" s="18" t="inlineStr">
        <is>
          <t>Preparación y parametrización</t>
        </is>
      </c>
      <c r="D108" s="7" t="inlineStr">
        <is>
          <t>SIPLA / SARLAFT: parámetros</t>
        </is>
      </c>
      <c r="E108" s="7" t="inlineStr">
        <is>
          <t>Equipo Cartera (2 personas, por designar) + oficial de cumplimiento (si existe)</t>
        </is>
      </c>
      <c r="F108" s="7" t="inlineStr">
        <is>
          <t>Jorman Copete (IngenIA 365)</t>
        </is>
      </c>
      <c r="G108" s="8" t="n">
        <v>46331</v>
      </c>
      <c r="H108" s="8" t="n">
        <v>46332</v>
      </c>
      <c r="I108" s="17">
        <f>H108-G108+1</f>
        <v/>
      </c>
      <c r="J108" s="17" t="inlineStr"/>
      <c r="K108" s="7" t="inlineStr">
        <is>
          <t>Pendiente</t>
        </is>
      </c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</row>
    <row r="109">
      <c r="A109" s="17" t="inlineStr">
        <is>
          <t>K11</t>
        </is>
      </c>
      <c r="B109" s="7" t="inlineStr">
        <is>
          <t>Cartera financiera</t>
        </is>
      </c>
      <c r="C109" s="18" t="inlineStr">
        <is>
          <t>Preparación y parametrización</t>
        </is>
      </c>
      <c r="D109" s="7" t="inlineStr">
        <is>
          <t>Scoring y parámetros de vivienda (si aplican)</t>
        </is>
      </c>
      <c r="E109" s="7" t="inlineStr">
        <is>
          <t>Equipo Cartera (2 personas, por designar)</t>
        </is>
      </c>
      <c r="F109" s="7" t="inlineStr">
        <is>
          <t>Jorman Copete (IngenIA 365)</t>
        </is>
      </c>
      <c r="G109" s="8" t="n">
        <v>46331</v>
      </c>
      <c r="H109" s="8" t="n">
        <v>46332</v>
      </c>
      <c r="I109" s="17">
        <f>H109-G109+1</f>
        <v/>
      </c>
      <c r="J109" s="17" t="inlineStr"/>
      <c r="K109" s="7" t="inlineStr">
        <is>
          <t>Pendiente</t>
        </is>
      </c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</row>
    <row r="110">
      <c r="A110" s="17" t="inlineStr">
        <is>
          <t>K12</t>
        </is>
      </c>
      <c r="B110" s="7" t="inlineStr">
        <is>
          <t>Cartera financiera</t>
        </is>
      </c>
      <c r="C110" s="18" t="inlineStr">
        <is>
          <t>Preparación y parametrización</t>
        </is>
      </c>
      <c r="D110" s="7" t="inlineStr">
        <is>
          <t>Cuentas de cartera (con Contabilidad)</t>
        </is>
      </c>
      <c r="E110" s="7" t="inlineStr">
        <is>
          <t>Equipo Cartera (2 personas, por designar) + Contadora Rafaela Lastra España</t>
        </is>
      </c>
      <c r="F110" s="7" t="inlineStr">
        <is>
          <t>Jorman Copete (IngenIA 365)</t>
        </is>
      </c>
      <c r="G110" s="8" t="n">
        <v>46331</v>
      </c>
      <c r="H110" s="8" t="n">
        <v>46335</v>
      </c>
      <c r="I110" s="17">
        <f>H110-G110+1</f>
        <v/>
      </c>
      <c r="J110" s="17" t="inlineStr"/>
      <c r="K110" s="7" t="inlineStr">
        <is>
          <t>Pendiente</t>
        </is>
      </c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</row>
    <row r="111">
      <c r="A111" s="17" t="inlineStr">
        <is>
          <t>K19</t>
        </is>
      </c>
      <c r="B111" s="7" t="inlineStr">
        <is>
          <t>Cartera financiera</t>
        </is>
      </c>
      <c r="C111" s="21" t="inlineStr">
        <is>
          <t>Capacitación</t>
        </is>
      </c>
      <c r="D111" s="7" t="inlineStr">
        <is>
          <t>Sesión 3 (sáb 07/11): desembolsos, proyecciones y plan de pagos, recaudos, descuento por nómina</t>
        </is>
      </c>
      <c r="E111" s="7" t="inlineStr">
        <is>
          <t>Equipo Cartera (2 personas, por designar)</t>
        </is>
      </c>
      <c r="F111" s="7" t="inlineStr">
        <is>
          <t>Jorman Copete (IngenIA 365)</t>
        </is>
      </c>
      <c r="G111" s="8" t="n">
        <v>46333</v>
      </c>
      <c r="H111" s="8" t="n">
        <v>46333</v>
      </c>
      <c r="I111" s="17">
        <f>H111-G111+1</f>
        <v/>
      </c>
      <c r="J111" s="17" t="inlineStr"/>
      <c r="K111" s="7" t="inlineStr">
        <is>
          <t>Pendiente</t>
        </is>
      </c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</row>
    <row r="112">
      <c r="A112" s="17" t="inlineStr">
        <is>
          <t>K14</t>
        </is>
      </c>
      <c r="B112" s="7" t="inlineStr">
        <is>
          <t>Cartera financiera</t>
        </is>
      </c>
      <c r="C112" s="18" t="inlineStr">
        <is>
          <t>Preparación y parametrización</t>
        </is>
      </c>
      <c r="D112" s="7" t="inlineStr">
        <is>
          <t>Descuento por nómina: configuración</t>
        </is>
      </c>
      <c r="E112" s="7" t="inlineStr">
        <is>
          <t>Equipo Cartera (2 personas, por designar)</t>
        </is>
      </c>
      <c r="F112" s="7" t="inlineStr">
        <is>
          <t>Jorman Copete (IngenIA 365)</t>
        </is>
      </c>
      <c r="G112" s="8" t="n">
        <v>46335</v>
      </c>
      <c r="H112" s="8" t="n">
        <v>46336</v>
      </c>
      <c r="I112" s="17">
        <f>H112-G112+1</f>
        <v/>
      </c>
      <c r="J112" s="17" t="inlineStr"/>
      <c r="K112" s="7" t="inlineStr">
        <is>
          <t>Pendiente</t>
        </is>
      </c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</row>
    <row r="113">
      <c r="A113" s="17" t="inlineStr">
        <is>
          <t>K15</t>
        </is>
      </c>
      <c r="B113" s="7" t="inlineStr">
        <is>
          <t>Cartera financiera</t>
        </is>
      </c>
      <c r="C113" s="18" t="inlineStr">
        <is>
          <t>Preparación y parametrización</t>
        </is>
      </c>
      <c r="D113" s="7" t="inlineStr">
        <is>
          <t>Verificación cruzada de la parametrización</t>
        </is>
      </c>
      <c r="E113" s="7" t="inlineStr">
        <is>
          <t>Equipo Cartera (2 personas, por designar) + Gestor del proyecto (por designar)</t>
        </is>
      </c>
      <c r="F113" s="7" t="inlineStr">
        <is>
          <t>Jorman Copete (IngenIA 365)</t>
        </is>
      </c>
      <c r="G113" s="8" t="n">
        <v>46335</v>
      </c>
      <c r="H113" s="8" t="n">
        <v>46336</v>
      </c>
      <c r="I113" s="17">
        <f>H113-G113+1</f>
        <v/>
      </c>
      <c r="J113" s="17" t="inlineStr"/>
      <c r="K113" s="7" t="inlineStr">
        <is>
          <t>Pendiente</t>
        </is>
      </c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</row>
    <row r="114">
      <c r="A114" s="17" t="inlineStr">
        <is>
          <t>C35</t>
        </is>
      </c>
      <c r="B114" s="7" t="inlineStr">
        <is>
          <t>Contabilidad</t>
        </is>
      </c>
      <c r="C114" s="22" t="inlineStr">
        <is>
          <t>Paralelo con el aplicativo actual</t>
        </is>
      </c>
      <c r="D114" s="7" t="inlineStr">
        <is>
          <t>Procedimiento de contabilización manual de Cartera y Comercial</t>
        </is>
      </c>
      <c r="E114" s="7" t="inlineStr">
        <is>
          <t>Contadora Rafaela Lastra España</t>
        </is>
      </c>
      <c r="F114" s="7" t="inlineStr">
        <is>
          <t>Jorman Copete (IngenIA 365)</t>
        </is>
      </c>
      <c r="G114" s="8" t="n">
        <v>46335</v>
      </c>
      <c r="H114" s="8" t="n">
        <v>46346</v>
      </c>
      <c r="I114" s="17">
        <f>H114-G114+1</f>
        <v/>
      </c>
      <c r="J114" s="17" t="inlineStr"/>
      <c r="K114" s="7" t="inlineStr">
        <is>
          <t>Pendiente</t>
        </is>
      </c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</row>
    <row r="115">
      <c r="A115" s="17" t="inlineStr">
        <is>
          <t>M30</t>
        </is>
      </c>
      <c r="B115" s="7" t="inlineStr">
        <is>
          <t>Comercial</t>
        </is>
      </c>
      <c r="C115" s="22" t="inlineStr">
        <is>
          <t>Paralelo con el aplicativo actual</t>
        </is>
      </c>
      <c r="D115" s="7" t="inlineStr">
        <is>
          <t>Contabilización de ventas e inventario (comprobante resumen hasta E3)</t>
        </is>
      </c>
      <c r="E115" s="7" t="inlineStr">
        <is>
          <t>Equipo Comercial (2 personas, por designar) + Contadora Rafaela Lastra España</t>
        </is>
      </c>
      <c r="F115" s="7" t="inlineStr">
        <is>
          <t>Jorman Copete (IngenIA 365)</t>
        </is>
      </c>
      <c r="G115" s="8" t="n">
        <v>46335</v>
      </c>
      <c r="H115" s="8" t="n">
        <v>46346</v>
      </c>
      <c r="I115" s="17">
        <f>H115-G115+1</f>
        <v/>
      </c>
      <c r="J115" s="17" t="inlineStr"/>
      <c r="K115" s="7" t="inlineStr">
        <is>
          <t>Pendiente</t>
        </is>
      </c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</row>
    <row r="116">
      <c r="A116" s="27" t="inlineStr">
        <is>
          <t>K16</t>
        </is>
      </c>
      <c r="B116" s="7" t="inlineStr">
        <is>
          <t>Cartera financiera</t>
        </is>
      </c>
      <c r="C116" s="18" t="inlineStr">
        <is>
          <t>Preparación y parametrización</t>
        </is>
      </c>
      <c r="D116" s="28" t="inlineStr">
        <is>
          <t>◆ HITO — Fin de parametrización de Cartera</t>
        </is>
      </c>
      <c r="E116" s="7" t="inlineStr">
        <is>
          <t>Gestor del proyecto (por designar)</t>
        </is>
      </c>
      <c r="F116" s="7" t="inlineStr">
        <is>
          <t>Jorman Copete (IngenIA 365)</t>
        </is>
      </c>
      <c r="G116" s="8" t="n">
        <v>46336</v>
      </c>
      <c r="H116" s="8" t="n">
        <v>46336</v>
      </c>
      <c r="I116" s="17">
        <f>H116-G116+1</f>
        <v/>
      </c>
      <c r="J116" s="19" t="inlineStr">
        <is>
          <t>◆</t>
        </is>
      </c>
      <c r="K116" s="7" t="inlineStr">
        <is>
          <t>Pendiente</t>
        </is>
      </c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</row>
    <row r="117">
      <c r="A117" s="17" t="inlineStr">
        <is>
          <t>M28</t>
        </is>
      </c>
      <c r="B117" s="7" t="inlineStr">
        <is>
          <t>Comercial</t>
        </is>
      </c>
      <c r="C117" s="22" t="inlineStr">
        <is>
          <t>Paralelo con el aplicativo actual</t>
        </is>
      </c>
      <c r="D117" s="7" t="inlineStr">
        <is>
          <t>Cierres de turno y flujo de caja de la muestra</t>
        </is>
      </c>
      <c r="E117" s="7" t="inlineStr">
        <is>
          <t>Equipo Comercial (2 personas, por designar)</t>
        </is>
      </c>
      <c r="F117" s="7" t="inlineStr">
        <is>
          <t>Jorman Copete (IngenIA 365)</t>
        </is>
      </c>
      <c r="G117" s="8" t="n">
        <v>46336</v>
      </c>
      <c r="H117" s="8" t="n">
        <v>46353</v>
      </c>
      <c r="I117" s="17">
        <f>H117-G117+1</f>
        <v/>
      </c>
      <c r="J117" s="17" t="inlineStr"/>
      <c r="K117" s="7" t="inlineStr">
        <is>
          <t>Pendiente</t>
        </is>
      </c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</row>
    <row r="118">
      <c r="A118" s="17" t="inlineStr">
        <is>
          <t>C24</t>
        </is>
      </c>
      <c r="B118" s="7" t="inlineStr">
        <is>
          <t>Contabilidad</t>
        </is>
      </c>
      <c r="C118" s="21" t="inlineStr">
        <is>
          <t>Capacitación</t>
        </is>
      </c>
      <c r="D118" s="7" t="inlineStr">
        <is>
          <t>Sesión entre semana (mié 11/11, día por acordar): revisión de los comprobantes del ciclo 1 con la contadora</t>
        </is>
      </c>
      <c r="E118" s="7" t="inlineStr">
        <is>
          <t>Contadora Rafaela Lastra España + auxiliar contable (por designar)</t>
        </is>
      </c>
      <c r="F118" s="7" t="inlineStr">
        <is>
          <t>Jorman Copete (IngenIA 365)</t>
        </is>
      </c>
      <c r="G118" s="8" t="n">
        <v>46337</v>
      </c>
      <c r="H118" s="8" t="n">
        <v>46337</v>
      </c>
      <c r="I118" s="17">
        <f>H118-G118+1</f>
        <v/>
      </c>
      <c r="J118" s="17" t="inlineStr"/>
      <c r="K118" s="7" t="inlineStr">
        <is>
          <t>Pendiente</t>
        </is>
      </c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</row>
    <row r="119">
      <c r="A119" s="17" t="inlineStr">
        <is>
          <t>K23</t>
        </is>
      </c>
      <c r="B119" s="7" t="inlineStr">
        <is>
          <t>Cartera financiera</t>
        </is>
      </c>
      <c r="C119" s="22" t="inlineStr">
        <is>
          <t>Paralelo con el aplicativo actual</t>
        </is>
      </c>
      <c r="D119" s="7" t="inlineStr">
        <is>
          <t>Muestra de operaciones del paralelo</t>
        </is>
      </c>
      <c r="E119" s="7" t="inlineStr">
        <is>
          <t>Equipo Cartera (2 personas, por designar) + Gestor del proyecto (por designar)</t>
        </is>
      </c>
      <c r="F119" s="7" t="inlineStr">
        <is>
          <t>Jorman Copete (IngenIA 365)</t>
        </is>
      </c>
      <c r="G119" s="8" t="n">
        <v>46337</v>
      </c>
      <c r="H119" s="8" t="n">
        <v>46338</v>
      </c>
      <c r="I119" s="17">
        <f>H119-G119+1</f>
        <v/>
      </c>
      <c r="J119" s="17" t="inlineStr"/>
      <c r="K119" s="7" t="inlineStr">
        <is>
          <t>Pendiente</t>
        </is>
      </c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</row>
    <row r="120">
      <c r="A120" s="17" t="inlineStr">
        <is>
          <t>K24</t>
        </is>
      </c>
      <c r="B120" s="7" t="inlineStr">
        <is>
          <t>Cartera financiera</t>
        </is>
      </c>
      <c r="C120" s="22" t="inlineStr">
        <is>
          <t>Paralelo con el aplicativo actual</t>
        </is>
      </c>
      <c r="D120" s="7" t="inlineStr">
        <is>
          <t>Ciclo 1: registrar las operaciones de la muestra (11 al 20/11)</t>
        </is>
      </c>
      <c r="E120" s="7" t="inlineStr">
        <is>
          <t>Equipo Cartera (2 personas, por designar)</t>
        </is>
      </c>
      <c r="F120" s="7" t="inlineStr">
        <is>
          <t>Jorman Copete (IngenIA 365)</t>
        </is>
      </c>
      <c r="G120" s="8" t="n">
        <v>46337</v>
      </c>
      <c r="H120" s="8" t="n">
        <v>46346</v>
      </c>
      <c r="I120" s="17">
        <f>H120-G120+1</f>
        <v/>
      </c>
      <c r="J120" s="17" t="inlineStr"/>
      <c r="K120" s="7" t="inlineStr">
        <is>
          <t>Pendiente</t>
        </is>
      </c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</row>
    <row r="121">
      <c r="A121" s="17" t="inlineStr">
        <is>
          <t>K31</t>
        </is>
      </c>
      <c r="B121" s="7" t="inlineStr">
        <is>
          <t>Cartera financiera</t>
        </is>
      </c>
      <c r="C121" s="22" t="inlineStr">
        <is>
          <t>Paralelo con el aplicativo actual</t>
        </is>
      </c>
      <c r="D121" s="7" t="inlineStr">
        <is>
          <t>Completar el registro del 100 % de asociados</t>
        </is>
      </c>
      <c r="E121" s="7" t="inlineStr">
        <is>
          <t>Equipo Cartera (2 personas, por designar)</t>
        </is>
      </c>
      <c r="F121" s="7" t="inlineStr">
        <is>
          <t>Jorman Copete (IngenIA 365)</t>
        </is>
      </c>
      <c r="G121" s="8" t="n">
        <v>46337</v>
      </c>
      <c r="H121" s="8" t="n">
        <v>46353</v>
      </c>
      <c r="I121" s="17">
        <f>H121-G121+1</f>
        <v/>
      </c>
      <c r="J121" s="17" t="inlineStr"/>
      <c r="K121" s="7" t="inlineStr">
        <is>
          <t>Pendiente</t>
        </is>
      </c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</row>
    <row r="122">
      <c r="A122" s="17" t="inlineStr">
        <is>
          <t>M21</t>
        </is>
      </c>
      <c r="B122" s="7" t="inlineStr">
        <is>
          <t>Comercial</t>
        </is>
      </c>
      <c r="C122" s="21" t="inlineStr">
        <is>
          <t>Capacitación</t>
        </is>
      </c>
      <c r="D122" s="7" t="inlineStr">
        <is>
          <t>Sesión entre semana (jue 12/11, día por acordar): acompañamiento en punto de venta durante el ciclo 1</t>
        </is>
      </c>
      <c r="E122" s="7" t="inlineStr">
        <is>
          <t>Equipo Comercial (2 personas, por designar)</t>
        </is>
      </c>
      <c r="F122" s="7" t="inlineStr">
        <is>
          <t>Jorman Copete (IngenIA 365)</t>
        </is>
      </c>
      <c r="G122" s="8" t="n">
        <v>46338</v>
      </c>
      <c r="H122" s="8" t="n">
        <v>46338</v>
      </c>
      <c r="I122" s="17">
        <f>H122-G122+1</f>
        <v/>
      </c>
      <c r="J122" s="17" t="inlineStr"/>
      <c r="K122" s="7" t="inlineStr">
        <is>
          <t>Pendiente</t>
        </is>
      </c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</row>
    <row r="123">
      <c r="A123" s="17" t="inlineStr">
        <is>
          <t>N31</t>
        </is>
      </c>
      <c r="B123" s="7" t="inlineStr">
        <is>
          <t>Nómina</t>
        </is>
      </c>
      <c r="C123" s="22" t="inlineStr">
        <is>
          <t>Paralelo con el aplicativo actual</t>
        </is>
      </c>
      <c r="D123" s="7" t="inlineStr">
        <is>
          <t>Ciclo 3: liquidar, comparar y aprobar la 1ª quincena de noviembre</t>
        </is>
      </c>
      <c r="E123" s="7" t="inlineStr">
        <is>
          <t>Equipo Nómina (2 personas, por designar)</t>
        </is>
      </c>
      <c r="F123" s="7" t="inlineStr">
        <is>
          <t>Jorman Copete (IngenIA 365)</t>
        </is>
      </c>
      <c r="G123" s="8" t="n">
        <v>46338</v>
      </c>
      <c r="H123" s="8" t="n">
        <v>46340</v>
      </c>
      <c r="I123" s="17">
        <f>H123-G123+1</f>
        <v/>
      </c>
      <c r="J123" s="17" t="inlineStr"/>
      <c r="K123" s="7" t="inlineStr">
        <is>
          <t>Pendiente</t>
        </is>
      </c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</row>
    <row r="124">
      <c r="A124" s="17" t="inlineStr">
        <is>
          <t>C27</t>
        </is>
      </c>
      <c r="B124" s="7" t="inlineStr">
        <is>
          <t>Contabilidad</t>
        </is>
      </c>
      <c r="C124" s="22" t="inlineStr">
        <is>
          <t>Paralelo con el aplicativo actual</t>
        </is>
      </c>
      <c r="D124" s="7" t="inlineStr">
        <is>
          <t>Ciclo 1: comparar con el aplicativo actual y registrar diferencias</t>
        </is>
      </c>
      <c r="E124" s="7" t="inlineStr">
        <is>
          <t>Contadora Rafaela Lastra España + auxiliar contable (por designar)</t>
        </is>
      </c>
      <c r="F124" s="7" t="inlineStr">
        <is>
          <t>Jorman Copete (IngenIA 365)</t>
        </is>
      </c>
      <c r="G124" s="8" t="n">
        <v>46339</v>
      </c>
      <c r="H124" s="8" t="n">
        <v>46340</v>
      </c>
      <c r="I124" s="17">
        <f>H124-G124+1</f>
        <v/>
      </c>
      <c r="J124" s="17" t="inlineStr"/>
      <c r="K124" s="7" t="inlineStr">
        <is>
          <t>Pendiente</t>
        </is>
      </c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</row>
    <row r="125">
      <c r="A125" s="17" t="inlineStr">
        <is>
          <t>M24</t>
        </is>
      </c>
      <c r="B125" s="7" t="inlineStr">
        <is>
          <t>Comercial</t>
        </is>
      </c>
      <c r="C125" s="22" t="inlineStr">
        <is>
          <t>Paralelo con el aplicativo actual</t>
        </is>
      </c>
      <c r="D125" s="7" t="inlineStr">
        <is>
          <t>Ciclo 1: comparar kardex, inventario valorizado y ventas con el actual; registrar diferencias</t>
        </is>
      </c>
      <c r="E125" s="7" t="inlineStr">
        <is>
          <t>Equipo Comercial (2 personas, por designar)</t>
        </is>
      </c>
      <c r="F125" s="7" t="inlineStr">
        <is>
          <t>Jorman Copete (IngenIA 365)</t>
        </is>
      </c>
      <c r="G125" s="8" t="n">
        <v>46339</v>
      </c>
      <c r="H125" s="8" t="n">
        <v>46340</v>
      </c>
      <c r="I125" s="17">
        <f>H125-G125+1</f>
        <v/>
      </c>
      <c r="J125" s="17" t="inlineStr"/>
      <c r="K125" s="7" t="inlineStr">
        <is>
          <t>Pendiente</t>
        </is>
      </c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</row>
    <row r="126">
      <c r="A126" s="17" t="inlineStr">
        <is>
          <t>N19</t>
        </is>
      </c>
      <c r="B126" s="7" t="inlineStr">
        <is>
          <t>Nómina</t>
        </is>
      </c>
      <c r="C126" s="21" t="inlineStr">
        <is>
          <t>Capacitación</t>
        </is>
      </c>
      <c r="D126" s="7" t="inlineStr">
        <is>
          <t>Sesión 4 (sáb 14/11): aprobación, comprobante NM y reportes para el cierre; repaso general</t>
        </is>
      </c>
      <c r="E126" s="7" t="inlineStr">
        <is>
          <t>Equipo Nómina (2 personas, por designar)</t>
        </is>
      </c>
      <c r="F126" s="7" t="inlineStr">
        <is>
          <t>Jorman Copete (IngenIA 365)</t>
        </is>
      </c>
      <c r="G126" s="8" t="n">
        <v>46340</v>
      </c>
      <c r="H126" s="8" t="n">
        <v>46340</v>
      </c>
      <c r="I126" s="17">
        <f>H126-G126+1</f>
        <v/>
      </c>
      <c r="J126" s="17" t="inlineStr"/>
      <c r="K126" s="7" t="inlineStr">
        <is>
          <t>Pendiente</t>
        </is>
      </c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</row>
    <row r="127">
      <c r="A127" s="17" t="inlineStr">
        <is>
          <t>K20</t>
        </is>
      </c>
      <c r="B127" s="7" t="inlineStr">
        <is>
          <t>Cartera financiera</t>
        </is>
      </c>
      <c r="C127" s="21" t="inlineStr">
        <is>
          <t>Capacitación</t>
        </is>
      </c>
      <c r="D127" s="7" t="inlineStr">
        <is>
          <t>Sesión 4 (sáb 14/11): mora y cobro, causación de intereses, calificación de cartera, extractos, cartera por edades e informes</t>
        </is>
      </c>
      <c r="E127" s="7" t="inlineStr">
        <is>
          <t>Equipo Cartera (2 personas, por designar)</t>
        </is>
      </c>
      <c r="F127" s="7" t="inlineStr">
        <is>
          <t>Jorman Copete (IngenIA 365)</t>
        </is>
      </c>
      <c r="G127" s="8" t="n">
        <v>46340</v>
      </c>
      <c r="H127" s="8" t="n">
        <v>46340</v>
      </c>
      <c r="I127" s="17">
        <f>H127-G127+1</f>
        <v/>
      </c>
      <c r="J127" s="17" t="inlineStr"/>
      <c r="K127" s="7" t="inlineStr">
        <is>
          <t>Pendiente</t>
        </is>
      </c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</row>
    <row r="128">
      <c r="A128" s="17" t="inlineStr">
        <is>
          <t>C31</t>
        </is>
      </c>
      <c r="B128" s="7" t="inlineStr">
        <is>
          <t>Contabilidad</t>
        </is>
      </c>
      <c r="C128" s="22" t="inlineStr">
        <is>
          <t>Paralelo con el aplicativo actual</t>
        </is>
      </c>
      <c r="D128" s="7" t="inlineStr">
        <is>
          <t>Ajustes de parametrización derivados del paralelo</t>
        </is>
      </c>
      <c r="E128" s="7" t="inlineStr">
        <is>
          <t>Contadora Rafaela Lastra España + auxiliar contable (por designar)</t>
        </is>
      </c>
      <c r="F128" s="7" t="inlineStr">
        <is>
          <t>Jorman Copete (IngenIA 365)</t>
        </is>
      </c>
      <c r="G128" s="8" t="n">
        <v>46340</v>
      </c>
      <c r="H128" s="8" t="n">
        <v>46353</v>
      </c>
      <c r="I128" s="17">
        <f>H128-G128+1</f>
        <v/>
      </c>
      <c r="J128" s="17" t="inlineStr"/>
      <c r="K128" s="7" t="inlineStr">
        <is>
          <t>Pendiente</t>
        </is>
      </c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</row>
    <row r="129">
      <c r="A129" s="17" t="inlineStr">
        <is>
          <t>M29</t>
        </is>
      </c>
      <c r="B129" s="7" t="inlineStr">
        <is>
          <t>Comercial</t>
        </is>
      </c>
      <c r="C129" s="22" t="inlineStr">
        <is>
          <t>Paralelo con el aplicativo actual</t>
        </is>
      </c>
      <c r="D129" s="7" t="inlineStr">
        <is>
          <t>Ajustes de parametrización derivados del paralelo</t>
        </is>
      </c>
      <c r="E129" s="7" t="inlineStr">
        <is>
          <t>Equipo Comercial (2 personas, por designar)</t>
        </is>
      </c>
      <c r="F129" s="7" t="inlineStr">
        <is>
          <t>Jorman Copete (IngenIA 365)</t>
        </is>
      </c>
      <c r="G129" s="8" t="n">
        <v>46340</v>
      </c>
      <c r="H129" s="8" t="n">
        <v>46353</v>
      </c>
      <c r="I129" s="17">
        <f>H129-G129+1</f>
        <v/>
      </c>
      <c r="J129" s="17" t="inlineStr"/>
      <c r="K129" s="7" t="inlineStr">
        <is>
          <t>Pendiente</t>
        </is>
      </c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</row>
    <row r="130">
      <c r="A130" s="17" t="inlineStr">
        <is>
          <t>N32</t>
        </is>
      </c>
      <c r="B130" s="7" t="inlineStr">
        <is>
          <t>Nómina</t>
        </is>
      </c>
      <c r="C130" s="22" t="inlineStr">
        <is>
          <t>Paralelo con el aplicativo actual</t>
        </is>
      </c>
      <c r="D130" s="7" t="inlineStr">
        <is>
          <t>Ciclo 4: novedades de la 2ª quincena de noviembre</t>
        </is>
      </c>
      <c r="E130" s="7" t="inlineStr">
        <is>
          <t>Equipo Nómina (2 personas, por designar)</t>
        </is>
      </c>
      <c r="F130" s="7" t="inlineStr">
        <is>
          <t>Jorman Copete (IngenIA 365)</t>
        </is>
      </c>
      <c r="G130" s="8" t="n">
        <v>46343</v>
      </c>
      <c r="H130" s="8" t="n">
        <v>46351</v>
      </c>
      <c r="I130" s="17">
        <f>H130-G130+1</f>
        <v/>
      </c>
      <c r="J130" s="17" t="inlineStr"/>
      <c r="K130" s="7" t="inlineStr">
        <is>
          <t>Pendiente</t>
        </is>
      </c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</row>
    <row r="131">
      <c r="A131" s="17" t="inlineStr">
        <is>
          <t>C29</t>
        </is>
      </c>
      <c r="B131" s="7" t="inlineStr">
        <is>
          <t>Contabilidad</t>
        </is>
      </c>
      <c r="C131" s="22" t="inlineStr">
        <is>
          <t>Paralelo con el aplicativo actual</t>
        </is>
      </c>
      <c r="D131" s="7" t="inlineStr">
        <is>
          <t>Ciclo 2: digitar y contabilizar la muestra (15 al 27/11)</t>
        </is>
      </c>
      <c r="E131" s="7" t="inlineStr">
        <is>
          <t>Contadora Rafaela Lastra España + auxiliar contable (por designar)</t>
        </is>
      </c>
      <c r="F131" s="7" t="inlineStr">
        <is>
          <t>Jorman Copete (IngenIA 365)</t>
        </is>
      </c>
      <c r="G131" s="8" t="n">
        <v>46343</v>
      </c>
      <c r="H131" s="8" t="n">
        <v>46353</v>
      </c>
      <c r="I131" s="17">
        <f>H131-G131+1</f>
        <v/>
      </c>
      <c r="J131" s="17" t="inlineStr"/>
      <c r="K131" s="7" t="inlineStr">
        <is>
          <t>Pendiente</t>
        </is>
      </c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</row>
    <row r="132">
      <c r="A132" s="17" t="inlineStr">
        <is>
          <t>M25</t>
        </is>
      </c>
      <c r="B132" s="7" t="inlineStr">
        <is>
          <t>Comercial</t>
        </is>
      </c>
      <c r="C132" s="22" t="inlineStr">
        <is>
          <t>Paralelo con el aplicativo actual</t>
        </is>
      </c>
      <c r="D132" s="7" t="inlineStr">
        <is>
          <t>Ciclo 2: registrar los movimientos de la muestra (15 al 27/11)</t>
        </is>
      </c>
      <c r="E132" s="7" t="inlineStr">
        <is>
          <t>Equipo Comercial (2 personas, por designar)</t>
        </is>
      </c>
      <c r="F132" s="7" t="inlineStr">
        <is>
          <t>Jorman Copete (IngenIA 365)</t>
        </is>
      </c>
      <c r="G132" s="8" t="n">
        <v>46343</v>
      </c>
      <c r="H132" s="8" t="n">
        <v>46353</v>
      </c>
      <c r="I132" s="17">
        <f>H132-G132+1</f>
        <v/>
      </c>
      <c r="J132" s="17" t="inlineStr"/>
      <c r="K132" s="7" t="inlineStr">
        <is>
          <t>Pendiente</t>
        </is>
      </c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</row>
    <row r="133">
      <c r="A133" s="17" t="inlineStr">
        <is>
          <t>K30</t>
        </is>
      </c>
      <c r="B133" s="7" t="inlineStr">
        <is>
          <t>Cartera financiera</t>
        </is>
      </c>
      <c r="C133" s="22" t="inlineStr">
        <is>
          <t>Paralelo con el aplicativo actual</t>
        </is>
      </c>
      <c r="D133" s="7" t="inlineStr">
        <is>
          <t>Contabilización de cartera y aportes (comprobante resumen hasta E3)</t>
        </is>
      </c>
      <c r="E133" s="7" t="inlineStr">
        <is>
          <t>Equipo Cartera (2 personas, por designar) + Contadora Rafaela Lastra España</t>
        </is>
      </c>
      <c r="F133" s="7" t="inlineStr">
        <is>
          <t>Jorman Copete (IngenIA 365)</t>
        </is>
      </c>
      <c r="G133" s="8" t="n">
        <v>46343</v>
      </c>
      <c r="H133" s="8" t="n">
        <v>46353</v>
      </c>
      <c r="I133" s="17">
        <f>H133-G133+1</f>
        <v/>
      </c>
      <c r="J133" s="17" t="inlineStr"/>
      <c r="K133" s="7" t="inlineStr">
        <is>
          <t>Pendiente</t>
        </is>
      </c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</row>
    <row r="134">
      <c r="A134" s="17" t="inlineStr">
        <is>
          <t>C28</t>
        </is>
      </c>
      <c r="B134" s="7" t="inlineStr">
        <is>
          <t>Contabilidad</t>
        </is>
      </c>
      <c r="C134" s="22" t="inlineStr">
        <is>
          <t>Paralelo con el aplicativo actual</t>
        </is>
      </c>
      <c r="D134" s="7" t="inlineStr">
        <is>
          <t>Verificar los comprobantes NM de noviembre</t>
        </is>
      </c>
      <c r="E134" s="7" t="inlineStr">
        <is>
          <t>Contadora Rafaela Lastra España</t>
        </is>
      </c>
      <c r="F134" s="7" t="inlineStr">
        <is>
          <t>Jorman Copete (IngenIA 365)</t>
        </is>
      </c>
      <c r="G134" s="8" t="n">
        <v>46343</v>
      </c>
      <c r="H134" s="8" t="n">
        <v>46354</v>
      </c>
      <c r="I134" s="17">
        <f>H134-G134+1</f>
        <v/>
      </c>
      <c r="J134" s="17" t="inlineStr"/>
      <c r="K134" s="7" t="inlineStr">
        <is>
          <t>Pendiente</t>
        </is>
      </c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</row>
    <row r="135">
      <c r="A135" s="17" t="inlineStr">
        <is>
          <t>K25</t>
        </is>
      </c>
      <c r="B135" s="7" t="inlineStr">
        <is>
          <t>Cartera financiera</t>
        </is>
      </c>
      <c r="C135" s="22" t="inlineStr">
        <is>
          <t>Paralelo con el aplicativo actual</t>
        </is>
      </c>
      <c r="D135" s="7" t="inlineStr">
        <is>
          <t>Ciclo 1: comparar con el actual y registrar diferencias</t>
        </is>
      </c>
      <c r="E135" s="7" t="inlineStr">
        <is>
          <t>Equipo Cartera (2 personas, por designar)</t>
        </is>
      </c>
      <c r="F135" s="7" t="inlineStr">
        <is>
          <t>Jorman Copete (IngenIA 365)</t>
        </is>
      </c>
      <c r="G135" s="8" t="n">
        <v>46346</v>
      </c>
      <c r="H135" s="8" t="n">
        <v>46347</v>
      </c>
      <c r="I135" s="17">
        <f>H135-G135+1</f>
        <v/>
      </c>
      <c r="J135" s="17" t="inlineStr"/>
      <c r="K135" s="7" t="inlineStr">
        <is>
          <t>Pendiente</t>
        </is>
      </c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</row>
    <row r="136">
      <c r="A136" s="17" t="inlineStr">
        <is>
          <t>K21</t>
        </is>
      </c>
      <c r="B136" s="7" t="inlineStr">
        <is>
          <t>Cartera financiera</t>
        </is>
      </c>
      <c r="C136" s="21" t="inlineStr">
        <is>
          <t>Capacitación</t>
        </is>
      </c>
      <c r="D136" s="7" t="inlineStr">
        <is>
          <t>Sesión 5 (sáb 21/11): revisión del paralelo y preparación de la carga de saldos</t>
        </is>
      </c>
      <c r="E136" s="7" t="inlineStr">
        <is>
          <t>Equipo Cartera (2 personas, por designar)</t>
        </is>
      </c>
      <c r="F136" s="7" t="inlineStr">
        <is>
          <t>Jorman Copete (IngenIA 365)</t>
        </is>
      </c>
      <c r="G136" s="8" t="n">
        <v>46347</v>
      </c>
      <c r="H136" s="8" t="n">
        <v>46347</v>
      </c>
      <c r="I136" s="17">
        <f>H136-G136+1</f>
        <v/>
      </c>
      <c r="J136" s="17" t="inlineStr"/>
      <c r="K136" s="7" t="inlineStr">
        <is>
          <t>Pendiente</t>
        </is>
      </c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</row>
    <row r="137">
      <c r="A137" s="17" t="inlineStr">
        <is>
          <t>K29</t>
        </is>
      </c>
      <c r="B137" s="7" t="inlineStr">
        <is>
          <t>Cartera financiera</t>
        </is>
      </c>
      <c r="C137" s="22" t="inlineStr">
        <is>
          <t>Paralelo con el aplicativo actual</t>
        </is>
      </c>
      <c r="D137" s="7" t="inlineStr">
        <is>
          <t>Ajustes de parametrización derivados del paralelo</t>
        </is>
      </c>
      <c r="E137" s="7" t="inlineStr">
        <is>
          <t>Equipo Cartera (2 personas, por designar)</t>
        </is>
      </c>
      <c r="F137" s="7" t="inlineStr">
        <is>
          <t>Jorman Copete (IngenIA 365)</t>
        </is>
      </c>
      <c r="G137" s="8" t="n">
        <v>46347</v>
      </c>
      <c r="H137" s="8" t="n">
        <v>46353</v>
      </c>
      <c r="I137" s="17">
        <f>H137-G137+1</f>
        <v/>
      </c>
      <c r="J137" s="17" t="inlineStr"/>
      <c r="K137" s="7" t="inlineStr">
        <is>
          <t>Pendiente</t>
        </is>
      </c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</row>
    <row r="138">
      <c r="A138" s="17" t="inlineStr">
        <is>
          <t>G08</t>
        </is>
      </c>
      <c r="B138" s="7" t="inlineStr">
        <is>
          <t>Gestión del proyecto</t>
        </is>
      </c>
      <c r="C138" s="26" t="inlineStr">
        <is>
          <t>Gestión del proyecto</t>
        </is>
      </c>
      <c r="D138" s="7" t="inlineStr">
        <is>
          <t>Comunicado de salida en vivo al personal</t>
        </is>
      </c>
      <c r="E138" s="7" t="inlineStr">
        <is>
          <t>Gerencia</t>
        </is>
      </c>
      <c r="F138" s="7" t="inlineStr">
        <is>
          <t>Jorman Copete (IngenIA 365)</t>
        </is>
      </c>
      <c r="G138" s="8" t="n">
        <v>46349</v>
      </c>
      <c r="H138" s="8" t="n">
        <v>46353</v>
      </c>
      <c r="I138" s="17">
        <f>H138-G138+1</f>
        <v/>
      </c>
      <c r="J138" s="17" t="inlineStr"/>
      <c r="K138" s="7" t="inlineStr">
        <is>
          <t>Pendiente</t>
        </is>
      </c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</row>
    <row r="139">
      <c r="A139" s="17" t="inlineStr">
        <is>
          <t>K26</t>
        </is>
      </c>
      <c r="B139" s="7" t="inlineStr">
        <is>
          <t>Cartera financiera</t>
        </is>
      </c>
      <c r="C139" s="22" t="inlineStr">
        <is>
          <t>Paralelo con el aplicativo actual</t>
        </is>
      </c>
      <c r="D139" s="7" t="inlineStr">
        <is>
          <t>Ciclo 2: registrar las operaciones de la muestra (23 al 27/11)</t>
        </is>
      </c>
      <c r="E139" s="7" t="inlineStr">
        <is>
          <t>Equipo Cartera (2 personas, por designar)</t>
        </is>
      </c>
      <c r="F139" s="7" t="inlineStr">
        <is>
          <t>Jorman Copete (IngenIA 365)</t>
        </is>
      </c>
      <c r="G139" s="8" t="n">
        <v>46349</v>
      </c>
      <c r="H139" s="8" t="n">
        <v>46353</v>
      </c>
      <c r="I139" s="17">
        <f>H139-G139+1</f>
        <v/>
      </c>
      <c r="J139" s="17" t="inlineStr"/>
      <c r="K139" s="7" t="inlineStr">
        <is>
          <t>Pendiente</t>
        </is>
      </c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</row>
    <row r="140">
      <c r="A140" s="17" t="inlineStr">
        <is>
          <t>C33</t>
        </is>
      </c>
      <c r="B140" s="7" t="inlineStr">
        <is>
          <t>Contabilidad</t>
        </is>
      </c>
      <c r="C140" s="22" t="inlineStr">
        <is>
          <t>Paralelo con el aplicativo actual</t>
        </is>
      </c>
      <c r="D140" s="7" t="inlineStr">
        <is>
          <t>Comparar el balance de prueba del paralelo con el actual (requiere E2)</t>
        </is>
      </c>
      <c r="E140" s="7" t="inlineStr">
        <is>
          <t>Contadora Rafaela Lastra España</t>
        </is>
      </c>
      <c r="F140" s="7" t="inlineStr">
        <is>
          <t>Jorman Copete (IngenIA 365)</t>
        </is>
      </c>
      <c r="G140" s="8" t="n">
        <v>46349</v>
      </c>
      <c r="H140" s="8" t="n">
        <v>46354</v>
      </c>
      <c r="I140" s="17">
        <f>H140-G140+1</f>
        <v/>
      </c>
      <c r="J140" s="17" t="inlineStr"/>
      <c r="K140" s="7" t="inlineStr">
        <is>
          <t>Pendiente</t>
        </is>
      </c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</row>
    <row r="141">
      <c r="A141" s="17" t="inlineStr">
        <is>
          <t>N36</t>
        </is>
      </c>
      <c r="B141" s="7" t="inlineStr">
        <is>
          <t>Nómina</t>
        </is>
      </c>
      <c r="C141" s="23" t="inlineStr">
        <is>
          <t>Cierre y salida en vivo</t>
        </is>
      </c>
      <c r="D141" s="7" t="inlineStr">
        <is>
          <t>Acumulados 2026 por empleado</t>
        </is>
      </c>
      <c r="E141" s="7" t="inlineStr">
        <is>
          <t>Equipo Nómina (2 personas, por designar) + Contadora Rafaela Lastra España</t>
        </is>
      </c>
      <c r="F141" s="7" t="inlineStr">
        <is>
          <t>Jorman Copete (IngenIA 365)</t>
        </is>
      </c>
      <c r="G141" s="8" t="n">
        <v>46349</v>
      </c>
      <c r="H141" s="8" t="n">
        <v>46356</v>
      </c>
      <c r="I141" s="17">
        <f>H141-G141+1</f>
        <v/>
      </c>
      <c r="J141" s="17" t="inlineStr"/>
      <c r="K141" s="7" t="inlineStr">
        <is>
          <t>Pendiente</t>
        </is>
      </c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</row>
    <row r="142">
      <c r="A142" s="17" t="inlineStr">
        <is>
          <t>K32</t>
        </is>
      </c>
      <c r="B142" s="7" t="inlineStr">
        <is>
          <t>Cartera financiera</t>
        </is>
      </c>
      <c r="C142" s="23" t="inlineStr">
        <is>
          <t>Cierre y salida en vivo</t>
        </is>
      </c>
      <c r="D142" s="7" t="inlineStr">
        <is>
          <t>Listado de créditos vigentes y aportes al 27/11 desde el actual</t>
        </is>
      </c>
      <c r="E142" s="7" t="inlineStr">
        <is>
          <t>Equipo Cartera (2 personas, por designar)</t>
        </is>
      </c>
      <c r="F142" s="7" t="inlineStr">
        <is>
          <t>Jorman Copete (IngenIA 365)</t>
        </is>
      </c>
      <c r="G142" s="8" t="n">
        <v>46351</v>
      </c>
      <c r="H142" s="8" t="n">
        <v>46353</v>
      </c>
      <c r="I142" s="17">
        <f>H142-G142+1</f>
        <v/>
      </c>
      <c r="J142" s="17" t="inlineStr"/>
      <c r="K142" s="7" t="inlineStr">
        <is>
          <t>Pendiente</t>
        </is>
      </c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</row>
    <row r="143">
      <c r="A143" s="17" t="inlineStr">
        <is>
          <t>K27</t>
        </is>
      </c>
      <c r="B143" s="7" t="inlineStr">
        <is>
          <t>Cartera financiera</t>
        </is>
      </c>
      <c r="C143" s="22" t="inlineStr">
        <is>
          <t>Paralelo con el aplicativo actual</t>
        </is>
      </c>
      <c r="D143" s="7" t="inlineStr">
        <is>
          <t>Ciclo 2: causación de intereses y calificación de cartera al corte</t>
        </is>
      </c>
      <c r="E143" s="7" t="inlineStr">
        <is>
          <t>Equipo Cartera (2 personas, por designar)</t>
        </is>
      </c>
      <c r="F143" s="7" t="inlineStr">
        <is>
          <t>Jorman Copete (IngenIA 365)</t>
        </is>
      </c>
      <c r="G143" s="8" t="n">
        <v>46352</v>
      </c>
      <c r="H143" s="8" t="n">
        <v>46353</v>
      </c>
      <c r="I143" s="17">
        <f>H143-G143+1</f>
        <v/>
      </c>
      <c r="J143" s="17" t="inlineStr"/>
      <c r="K143" s="7" t="inlineStr">
        <is>
          <t>Pendiente</t>
        </is>
      </c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</row>
    <row r="144">
      <c r="A144" s="17" t="inlineStr">
        <is>
          <t>N33</t>
        </is>
      </c>
      <c r="B144" s="7" t="inlineStr">
        <is>
          <t>Nómina</t>
        </is>
      </c>
      <c r="C144" s="22" t="inlineStr">
        <is>
          <t>Paralelo con el aplicativo actual</t>
        </is>
      </c>
      <c r="D144" s="7" t="inlineStr">
        <is>
          <t>Ciclo 4: liquidar, comparar y aprobar la 2ª quincena de noviembre</t>
        </is>
      </c>
      <c r="E144" s="7" t="inlineStr">
        <is>
          <t>Equipo Nómina (2 personas, por designar)</t>
        </is>
      </c>
      <c r="F144" s="7" t="inlineStr">
        <is>
          <t>Jorman Copete (IngenIA 365)</t>
        </is>
      </c>
      <c r="G144" s="8" t="n">
        <v>46352</v>
      </c>
      <c r="H144" s="8" t="n">
        <v>46354</v>
      </c>
      <c r="I144" s="17">
        <f>H144-G144+1</f>
        <v/>
      </c>
      <c r="J144" s="17" t="inlineStr"/>
      <c r="K144" s="7" t="inlineStr">
        <is>
          <t>Pendiente</t>
        </is>
      </c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</row>
    <row r="145">
      <c r="A145" s="17" t="inlineStr">
        <is>
          <t>C30</t>
        </is>
      </c>
      <c r="B145" s="7" t="inlineStr">
        <is>
          <t>Contabilidad</t>
        </is>
      </c>
      <c r="C145" s="22" t="inlineStr">
        <is>
          <t>Paralelo con el aplicativo actual</t>
        </is>
      </c>
      <c r="D145" s="7" t="inlineStr">
        <is>
          <t>Ciclo 2: comparar y registrar diferencias</t>
        </is>
      </c>
      <c r="E145" s="7" t="inlineStr">
        <is>
          <t>Contadora Rafaela Lastra España + auxiliar contable (por designar)</t>
        </is>
      </c>
      <c r="F145" s="7" t="inlineStr">
        <is>
          <t>Jorman Copete (IngenIA 365)</t>
        </is>
      </c>
      <c r="G145" s="8" t="n">
        <v>46353</v>
      </c>
      <c r="H145" s="8" t="n">
        <v>46354</v>
      </c>
      <c r="I145" s="17">
        <f>H145-G145+1</f>
        <v/>
      </c>
      <c r="J145" s="17" t="inlineStr"/>
      <c r="K145" s="7" t="inlineStr">
        <is>
          <t>Pendiente</t>
        </is>
      </c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</row>
    <row r="146">
      <c r="A146" s="17" t="inlineStr">
        <is>
          <t>M26</t>
        </is>
      </c>
      <c r="B146" s="7" t="inlineStr">
        <is>
          <t>Comercial</t>
        </is>
      </c>
      <c r="C146" s="22" t="inlineStr">
        <is>
          <t>Paralelo con el aplicativo actual</t>
        </is>
      </c>
      <c r="D146" s="7" t="inlineStr">
        <is>
          <t>Ciclo 2: comparar y registrar diferencias</t>
        </is>
      </c>
      <c r="E146" s="7" t="inlineStr">
        <is>
          <t>Equipo Comercial (2 personas, por designar)</t>
        </is>
      </c>
      <c r="F146" s="7" t="inlineStr">
        <is>
          <t>Jorman Copete (IngenIA 365)</t>
        </is>
      </c>
      <c r="G146" s="8" t="n">
        <v>46353</v>
      </c>
      <c r="H146" s="8" t="n">
        <v>46354</v>
      </c>
      <c r="I146" s="17">
        <f>H146-G146+1</f>
        <v/>
      </c>
      <c r="J146" s="17" t="inlineStr"/>
      <c r="K146" s="7" t="inlineStr">
        <is>
          <t>Pendiente</t>
        </is>
      </c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</row>
    <row r="147">
      <c r="A147" s="17" t="inlineStr">
        <is>
          <t>K28</t>
        </is>
      </c>
      <c r="B147" s="7" t="inlineStr">
        <is>
          <t>Cartera financiera</t>
        </is>
      </c>
      <c r="C147" s="22" t="inlineStr">
        <is>
          <t>Paralelo con el aplicativo actual</t>
        </is>
      </c>
      <c r="D147" s="7" t="inlineStr">
        <is>
          <t>Ciclo 2: comparar y registrar diferencias; cartera por edades y extractos</t>
        </is>
      </c>
      <c r="E147" s="7" t="inlineStr">
        <is>
          <t>Equipo Cartera (2 personas, por designar)</t>
        </is>
      </c>
      <c r="F147" s="7" t="inlineStr">
        <is>
          <t>Jorman Copete (IngenIA 365)</t>
        </is>
      </c>
      <c r="G147" s="8" t="n">
        <v>46353</v>
      </c>
      <c r="H147" s="8" t="n">
        <v>46354</v>
      </c>
      <c r="I147" s="17">
        <f>H147-G147+1</f>
        <v/>
      </c>
      <c r="J147" s="17" t="inlineStr"/>
      <c r="K147" s="7" t="inlineStr">
        <is>
          <t>Pendiente</t>
        </is>
      </c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</row>
    <row r="148">
      <c r="A148" s="17" t="inlineStr">
        <is>
          <t>N37</t>
        </is>
      </c>
      <c r="B148" s="7" t="inlineStr">
        <is>
          <t>Nómina</t>
        </is>
      </c>
      <c r="C148" s="23" t="inlineStr">
        <is>
          <t>Cierre y salida en vivo</t>
        </is>
      </c>
      <c r="D148" s="7" t="inlineStr">
        <is>
          <t>Respaldo de la nómina actual y plan de reversa</t>
        </is>
      </c>
      <c r="E148" s="7" t="inlineStr">
        <is>
          <t>Gestor del proyecto (por designar) + Equipo Nómina (2 personas, por designar)</t>
        </is>
      </c>
      <c r="F148" s="7" t="inlineStr">
        <is>
          <t>Jorman Copete (IngenIA 365)</t>
        </is>
      </c>
      <c r="G148" s="8" t="n">
        <v>46353</v>
      </c>
      <c r="H148" s="8" t="n">
        <v>46356</v>
      </c>
      <c r="I148" s="17">
        <f>H148-G148+1</f>
        <v/>
      </c>
      <c r="J148" s="17" t="inlineStr"/>
      <c r="K148" s="7" t="inlineStr">
        <is>
          <t>Pendiente</t>
        </is>
      </c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</row>
    <row r="149">
      <c r="A149" s="17" t="inlineStr">
        <is>
          <t>C40</t>
        </is>
      </c>
      <c r="B149" s="7" t="inlineStr">
        <is>
          <t>Contabilidad</t>
        </is>
      </c>
      <c r="C149" s="23" t="inlineStr">
        <is>
          <t>Cierre y salida en vivo</t>
        </is>
      </c>
      <c r="D149" s="7" t="inlineStr">
        <is>
          <t>Respaldo del aplicativo actual y plan de reversa</t>
        </is>
      </c>
      <c r="E149" s="7" t="inlineStr">
        <is>
          <t>Gestor del proyecto (por designar) + Jorman Copete (IngenIA 365)</t>
        </is>
      </c>
      <c r="F149" s="7" t="inlineStr">
        <is>
          <t>Jorman Copete (IngenIA 365)</t>
        </is>
      </c>
      <c r="G149" s="8" t="n">
        <v>46353</v>
      </c>
      <c r="H149" s="8" t="n">
        <v>46356</v>
      </c>
      <c r="I149" s="17">
        <f>H149-G149+1</f>
        <v/>
      </c>
      <c r="J149" s="17" t="inlineStr"/>
      <c r="K149" s="7" t="inlineStr">
        <is>
          <t>Pendiente</t>
        </is>
      </c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</row>
    <row r="150">
      <c r="A150" s="17" t="inlineStr">
        <is>
          <t>M34</t>
        </is>
      </c>
      <c r="B150" s="7" t="inlineStr">
        <is>
          <t>Comercial</t>
        </is>
      </c>
      <c r="C150" s="23" t="inlineStr">
        <is>
          <t>Cierre y salida en vivo</t>
        </is>
      </c>
      <c r="D150" s="7" t="inlineStr">
        <is>
          <t>Respaldo y plan de reversa (comercial)</t>
        </is>
      </c>
      <c r="E150" s="7" t="inlineStr">
        <is>
          <t>Gestor del proyecto (por designar) + Equipo Comercial (2 personas, por designar)</t>
        </is>
      </c>
      <c r="F150" s="7" t="inlineStr">
        <is>
          <t>Jorman Copete (IngenIA 365)</t>
        </is>
      </c>
      <c r="G150" s="8" t="n">
        <v>46353</v>
      </c>
      <c r="H150" s="8" t="n">
        <v>46356</v>
      </c>
      <c r="I150" s="17">
        <f>H150-G150+1</f>
        <v/>
      </c>
      <c r="J150" s="17" t="inlineStr"/>
      <c r="K150" s="7" t="inlineStr">
        <is>
          <t>Pendiente</t>
        </is>
      </c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</row>
    <row r="151">
      <c r="A151" s="17" t="inlineStr">
        <is>
          <t>K36</t>
        </is>
      </c>
      <c r="B151" s="7" t="inlineStr">
        <is>
          <t>Cartera financiera</t>
        </is>
      </c>
      <c r="C151" s="23" t="inlineStr">
        <is>
          <t>Cierre y salida en vivo</t>
        </is>
      </c>
      <c r="D151" s="7" t="inlineStr">
        <is>
          <t>Respaldo y plan de reversa (cartera)</t>
        </is>
      </c>
      <c r="E151" s="7" t="inlineStr">
        <is>
          <t>Gestor del proyecto (por designar) + Equipo Cartera (2 personas, por designar)</t>
        </is>
      </c>
      <c r="F151" s="7" t="inlineStr">
        <is>
          <t>Jorman Copete (IngenIA 365)</t>
        </is>
      </c>
      <c r="G151" s="8" t="n">
        <v>46353</v>
      </c>
      <c r="H151" s="8" t="n">
        <v>46356</v>
      </c>
      <c r="I151" s="17">
        <f>H151-G151+1</f>
        <v/>
      </c>
      <c r="J151" s="17" t="inlineStr"/>
      <c r="K151" s="7" t="inlineStr">
        <is>
          <t>Pendiente</t>
        </is>
      </c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</row>
    <row r="152">
      <c r="A152" s="17" t="inlineStr">
        <is>
          <t>G09</t>
        </is>
      </c>
      <c r="B152" s="7" t="inlineStr">
        <is>
          <t>Gestión del proyecto</t>
        </is>
      </c>
      <c r="C152" s="26" t="inlineStr">
        <is>
          <t>Gestión del proyecto</t>
        </is>
      </c>
      <c r="D152" s="7" t="inlineStr">
        <is>
          <t>Comité de decisión de salida en vivo (go / no-go)</t>
        </is>
      </c>
      <c r="E152" s="7" t="inlineStr">
        <is>
          <t>Gerencia + Gestor del proyecto (por designar) + Jorman Copete (IngenIA 365)</t>
        </is>
      </c>
      <c r="F152" s="7" t="inlineStr">
        <is>
          <t>Jorman Copete (IngenIA 365)</t>
        </is>
      </c>
      <c r="G152" s="8" t="n">
        <v>46354</v>
      </c>
      <c r="H152" s="8" t="n">
        <v>46354</v>
      </c>
      <c r="I152" s="17">
        <f>H152-G152+1</f>
        <v/>
      </c>
      <c r="J152" s="17" t="inlineStr"/>
      <c r="K152" s="7" t="inlineStr">
        <is>
          <t>Pendiente</t>
        </is>
      </c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</row>
    <row r="153">
      <c r="A153" s="27" t="inlineStr">
        <is>
          <t>N38</t>
        </is>
      </c>
      <c r="B153" s="7" t="inlineStr">
        <is>
          <t>Nómina</t>
        </is>
      </c>
      <c r="C153" s="23" t="inlineStr">
        <is>
          <t>Cierre y salida en vivo</t>
        </is>
      </c>
      <c r="D153" s="28" t="inlineStr">
        <is>
          <t>◆ HITO — Corte del paralelo de Nómina</t>
        </is>
      </c>
      <c r="E153" s="7" t="inlineStr">
        <is>
          <t>Gestor del proyecto (por designar)</t>
        </is>
      </c>
      <c r="F153" s="7" t="inlineStr">
        <is>
          <t>Jorman Copete (IngenIA 365)</t>
        </is>
      </c>
      <c r="G153" s="8" t="n">
        <v>46354</v>
      </c>
      <c r="H153" s="8" t="n">
        <v>46354</v>
      </c>
      <c r="I153" s="17">
        <f>H153-G153+1</f>
        <v/>
      </c>
      <c r="J153" s="19" t="inlineStr">
        <is>
          <t>◆</t>
        </is>
      </c>
      <c r="K153" s="7" t="inlineStr">
        <is>
          <t>Pendiente</t>
        </is>
      </c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</row>
    <row r="154">
      <c r="A154" s="27" t="inlineStr">
        <is>
          <t>C41</t>
        </is>
      </c>
      <c r="B154" s="7" t="inlineStr">
        <is>
          <t>Contabilidad</t>
        </is>
      </c>
      <c r="C154" s="23" t="inlineStr">
        <is>
          <t>Cierre y salida en vivo</t>
        </is>
      </c>
      <c r="D154" s="28" t="inlineStr">
        <is>
          <t>◆ HITO — Corte del paralelo</t>
        </is>
      </c>
      <c r="E154" s="7" t="inlineStr">
        <is>
          <t>Gestor del proyecto (por designar)</t>
        </is>
      </c>
      <c r="F154" s="7" t="inlineStr">
        <is>
          <t>Jorman Copete (IngenIA 365)</t>
        </is>
      </c>
      <c r="G154" s="8" t="n">
        <v>46354</v>
      </c>
      <c r="H154" s="8" t="n">
        <v>46354</v>
      </c>
      <c r="I154" s="17">
        <f>H154-G154+1</f>
        <v/>
      </c>
      <c r="J154" s="19" t="inlineStr">
        <is>
          <t>◆</t>
        </is>
      </c>
      <c r="K154" s="7" t="inlineStr">
        <is>
          <t>Pendiente</t>
        </is>
      </c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</row>
    <row r="155">
      <c r="A155" s="27" t="inlineStr">
        <is>
          <t>M35</t>
        </is>
      </c>
      <c r="B155" s="7" t="inlineStr">
        <is>
          <t>Comercial</t>
        </is>
      </c>
      <c r="C155" s="23" t="inlineStr">
        <is>
          <t>Cierre y salida en vivo</t>
        </is>
      </c>
      <c r="D155" s="28" t="inlineStr">
        <is>
          <t>◆ HITO — Corte del paralelo</t>
        </is>
      </c>
      <c r="E155" s="7" t="inlineStr">
        <is>
          <t>Gestor del proyecto (por designar)</t>
        </is>
      </c>
      <c r="F155" s="7" t="inlineStr">
        <is>
          <t>Jorman Copete (IngenIA 365)</t>
        </is>
      </c>
      <c r="G155" s="8" t="n">
        <v>46354</v>
      </c>
      <c r="H155" s="8" t="n">
        <v>46354</v>
      </c>
      <c r="I155" s="17">
        <f>H155-G155+1</f>
        <v/>
      </c>
      <c r="J155" s="19" t="inlineStr">
        <is>
          <t>◆</t>
        </is>
      </c>
      <c r="K155" s="7" t="inlineStr">
        <is>
          <t>Pendiente</t>
        </is>
      </c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</row>
    <row r="156">
      <c r="A156" s="27" t="inlineStr">
        <is>
          <t>K37</t>
        </is>
      </c>
      <c r="B156" s="7" t="inlineStr">
        <is>
          <t>Cartera financiera</t>
        </is>
      </c>
      <c r="C156" s="23" t="inlineStr">
        <is>
          <t>Cierre y salida en vivo</t>
        </is>
      </c>
      <c r="D156" s="28" t="inlineStr">
        <is>
          <t>◆ HITO — Corte del paralelo</t>
        </is>
      </c>
      <c r="E156" s="7" t="inlineStr">
        <is>
          <t>Gestor del proyecto (por designar)</t>
        </is>
      </c>
      <c r="F156" s="7" t="inlineStr">
        <is>
          <t>Jorman Copete (IngenIA 365)</t>
        </is>
      </c>
      <c r="G156" s="8" t="n">
        <v>46354</v>
      </c>
      <c r="H156" s="8" t="n">
        <v>46354</v>
      </c>
      <c r="I156" s="17">
        <f>H156-G156+1</f>
        <v/>
      </c>
      <c r="J156" s="19" t="inlineStr">
        <is>
          <t>◆</t>
        </is>
      </c>
      <c r="K156" s="7" t="inlineStr">
        <is>
          <t>Pendiente</t>
        </is>
      </c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</row>
    <row r="157">
      <c r="A157" s="17" t="inlineStr">
        <is>
          <t>M31</t>
        </is>
      </c>
      <c r="B157" s="7" t="inlineStr">
        <is>
          <t>Comercial</t>
        </is>
      </c>
      <c r="C157" s="23" t="inlineStr">
        <is>
          <t>Cierre y salida en vivo</t>
        </is>
      </c>
      <c r="D157" s="7" t="inlineStr">
        <is>
          <t>Toma física de inventario al 30/11</t>
        </is>
      </c>
      <c r="E157" s="7" t="inlineStr">
        <is>
          <t>Equipo Comercial (2 personas, por designar)</t>
        </is>
      </c>
      <c r="F157" s="7" t="inlineStr">
        <is>
          <t>Jorman Copete (IngenIA 365)</t>
        </is>
      </c>
      <c r="G157" s="8" t="n">
        <v>46354</v>
      </c>
      <c r="H157" s="8" t="n">
        <v>46356</v>
      </c>
      <c r="I157" s="17">
        <f>H157-G157+1</f>
        <v/>
      </c>
      <c r="J157" s="17" t="inlineStr"/>
      <c r="K157" s="7" t="inlineStr">
        <is>
          <t>Pendiente</t>
        </is>
      </c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</row>
    <row r="158">
      <c r="A158" s="17" t="inlineStr">
        <is>
          <t>K33</t>
        </is>
      </c>
      <c r="B158" s="7" t="inlineStr">
        <is>
          <t>Cartera financiera</t>
        </is>
      </c>
      <c r="C158" s="23" t="inlineStr">
        <is>
          <t>Cierre y salida en vivo</t>
        </is>
      </c>
      <c r="D158" s="7" t="inlineStr">
        <is>
          <t>Precarga de créditos vigentes y aportes con saldos al 27/11</t>
        </is>
      </c>
      <c r="E158" s="7" t="inlineStr">
        <is>
          <t>Equipo Cartera (2 personas, por designar)</t>
        </is>
      </c>
      <c r="F158" s="7" t="inlineStr">
        <is>
          <t>Jorman Copete (IngenIA 365)</t>
        </is>
      </c>
      <c r="G158" s="8" t="n">
        <v>46354</v>
      </c>
      <c r="H158" s="8" t="n">
        <v>46356</v>
      </c>
      <c r="I158" s="17">
        <f>H158-G158+1</f>
        <v/>
      </c>
      <c r="J158" s="17" t="inlineStr"/>
      <c r="K158" s="7" t="inlineStr">
        <is>
          <t>Pendiente</t>
        </is>
      </c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</row>
    <row r="159">
      <c r="A159" s="17" t="inlineStr">
        <is>
          <t>C36</t>
        </is>
      </c>
      <c r="B159" s="7" t="inlineStr">
        <is>
          <t>Contabilidad</t>
        </is>
      </c>
      <c r="C159" s="23" t="inlineStr">
        <is>
          <t>Cierre y salida en vivo</t>
        </is>
      </c>
      <c r="D159" s="7" t="inlineStr">
        <is>
          <t>Balance de prueba del aplicativo actual al 30/11</t>
        </is>
      </c>
      <c r="E159" s="7" t="inlineStr">
        <is>
          <t>Contadora Rafaela Lastra España</t>
        </is>
      </c>
      <c r="F159" s="7" t="inlineStr">
        <is>
          <t>Jorman Copete (IngenIA 365)</t>
        </is>
      </c>
      <c r="G159" s="8" t="n">
        <v>46356</v>
      </c>
      <c r="H159" s="8" t="n">
        <v>46358</v>
      </c>
      <c r="I159" s="17">
        <f>H159-G159+1</f>
        <v/>
      </c>
      <c r="J159" s="17" t="inlineStr"/>
      <c r="K159" s="7" t="inlineStr">
        <is>
          <t>Pendiente</t>
        </is>
      </c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</row>
    <row r="160">
      <c r="A160" s="17" t="inlineStr">
        <is>
          <t>M32</t>
        </is>
      </c>
      <c r="B160" s="7" t="inlineStr">
        <is>
          <t>Comercial</t>
        </is>
      </c>
      <c r="C160" s="23" t="inlineStr">
        <is>
          <t>Cierre y salida en vivo</t>
        </is>
      </c>
      <c r="D160" s="7" t="inlineStr">
        <is>
          <t>Carga del inventario inicial definitivo</t>
        </is>
      </c>
      <c r="E160" s="7" t="inlineStr">
        <is>
          <t>Equipo Comercial (2 personas, por designar)</t>
        </is>
      </c>
      <c r="F160" s="7" t="inlineStr">
        <is>
          <t>Jorman Copete (IngenIA 365)</t>
        </is>
      </c>
      <c r="G160" s="8" t="n">
        <v>46356</v>
      </c>
      <c r="H160" s="8" t="n">
        <v>46358</v>
      </c>
      <c r="I160" s="17">
        <f>H160-G160+1</f>
        <v/>
      </c>
      <c r="J160" s="17" t="inlineStr"/>
      <c r="K160" s="7" t="inlineStr">
        <is>
          <t>Pendiente</t>
        </is>
      </c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</row>
    <row r="161">
      <c r="A161" s="27" t="inlineStr">
        <is>
          <t>G10</t>
        </is>
      </c>
      <c r="B161" s="7" t="inlineStr">
        <is>
          <t>Gestión del proyecto</t>
        </is>
      </c>
      <c r="C161" s="26" t="inlineStr">
        <is>
          <t>Gestión del proyecto</t>
        </is>
      </c>
      <c r="D161" s="28" t="inlineStr">
        <is>
          <t>◆ HITO — Salida en vivo — sólo IngenIA365ERP</t>
        </is>
      </c>
      <c r="E161" s="7" t="inlineStr">
        <is>
          <t>Gerencia</t>
        </is>
      </c>
      <c r="F161" s="7" t="inlineStr">
        <is>
          <t>Jorman Copete (IngenIA 365)</t>
        </is>
      </c>
      <c r="G161" s="8" t="n">
        <v>46357</v>
      </c>
      <c r="H161" s="8" t="n">
        <v>46357</v>
      </c>
      <c r="I161" s="17">
        <f>H161-G161+1</f>
        <v/>
      </c>
      <c r="J161" s="19" t="inlineStr">
        <is>
          <t>◆</t>
        </is>
      </c>
      <c r="K161" s="7" t="inlineStr">
        <is>
          <t>Pendiente</t>
        </is>
      </c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</row>
    <row r="162">
      <c r="A162" s="27" t="inlineStr">
        <is>
          <t>N39</t>
        </is>
      </c>
      <c r="B162" s="7" t="inlineStr">
        <is>
          <t>Nómina</t>
        </is>
      </c>
      <c r="C162" s="23" t="inlineStr">
        <is>
          <t>Cierre y salida en vivo</t>
        </is>
      </c>
      <c r="D162" s="28" t="inlineStr">
        <is>
          <t>◆ HITO — Salida en vivo: la 1ª quincena de diciembre se liquida sólo en IngenIA365ERP</t>
        </is>
      </c>
      <c r="E162" s="7" t="inlineStr">
        <is>
          <t>Gestor del proyecto (por designar)</t>
        </is>
      </c>
      <c r="F162" s="7" t="inlineStr">
        <is>
          <t>Jorman Copete (IngenIA 365)</t>
        </is>
      </c>
      <c r="G162" s="8" t="n">
        <v>46357</v>
      </c>
      <c r="H162" s="8" t="n">
        <v>46357</v>
      </c>
      <c r="I162" s="17">
        <f>H162-G162+1</f>
        <v/>
      </c>
      <c r="J162" s="19" t="inlineStr">
        <is>
          <t>◆</t>
        </is>
      </c>
      <c r="K162" s="7" t="inlineStr">
        <is>
          <t>Pendiente</t>
        </is>
      </c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</row>
    <row r="163">
      <c r="A163" s="27" t="inlineStr">
        <is>
          <t>C42</t>
        </is>
      </c>
      <c r="B163" s="7" t="inlineStr">
        <is>
          <t>Contabilidad</t>
        </is>
      </c>
      <c r="C163" s="23" t="inlineStr">
        <is>
          <t>Cierre y salida en vivo</t>
        </is>
      </c>
      <c r="D163" s="28" t="inlineStr">
        <is>
          <t>◆ HITO — Salida en vivo</t>
        </is>
      </c>
      <c r="E163" s="7" t="inlineStr">
        <is>
          <t>Gestor del proyecto (por designar)</t>
        </is>
      </c>
      <c r="F163" s="7" t="inlineStr">
        <is>
          <t>Jorman Copete (IngenIA 365)</t>
        </is>
      </c>
      <c r="G163" s="8" t="n">
        <v>46357</v>
      </c>
      <c r="H163" s="8" t="n">
        <v>46357</v>
      </c>
      <c r="I163" s="17">
        <f>H163-G163+1</f>
        <v/>
      </c>
      <c r="J163" s="19" t="inlineStr">
        <is>
          <t>◆</t>
        </is>
      </c>
      <c r="K163" s="7" t="inlineStr">
        <is>
          <t>Pendiente</t>
        </is>
      </c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</row>
    <row r="164">
      <c r="A164" s="27" t="inlineStr">
        <is>
          <t>M36</t>
        </is>
      </c>
      <c r="B164" s="7" t="inlineStr">
        <is>
          <t>Comercial</t>
        </is>
      </c>
      <c r="C164" s="23" t="inlineStr">
        <is>
          <t>Cierre y salida en vivo</t>
        </is>
      </c>
      <c r="D164" s="28" t="inlineStr">
        <is>
          <t>◆ HITO — Salida en vivo: ventas y movimientos sólo en el nuevo</t>
        </is>
      </c>
      <c r="E164" s="7" t="inlineStr">
        <is>
          <t>Gestor del proyecto (por designar)</t>
        </is>
      </c>
      <c r="F164" s="7" t="inlineStr">
        <is>
          <t>Jorman Copete (IngenIA 365)</t>
        </is>
      </c>
      <c r="G164" s="8" t="n">
        <v>46357</v>
      </c>
      <c r="H164" s="8" t="n">
        <v>46357</v>
      </c>
      <c r="I164" s="17">
        <f>H164-G164+1</f>
        <v/>
      </c>
      <c r="J164" s="19" t="inlineStr">
        <is>
          <t>◆</t>
        </is>
      </c>
      <c r="K164" s="7" t="inlineStr">
        <is>
          <t>Pendiente</t>
        </is>
      </c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</row>
    <row r="165">
      <c r="A165" s="27" t="inlineStr">
        <is>
          <t>K38</t>
        </is>
      </c>
      <c r="B165" s="7" t="inlineStr">
        <is>
          <t>Cartera financiera</t>
        </is>
      </c>
      <c r="C165" s="23" t="inlineStr">
        <is>
          <t>Cierre y salida en vivo</t>
        </is>
      </c>
      <c r="D165" s="28" t="inlineStr">
        <is>
          <t>◆ HITO — Salida en vivo</t>
        </is>
      </c>
      <c r="E165" s="7" t="inlineStr">
        <is>
          <t>Gestor del proyecto (por designar)</t>
        </is>
      </c>
      <c r="F165" s="7" t="inlineStr">
        <is>
          <t>Jorman Copete (IngenIA 365)</t>
        </is>
      </c>
      <c r="G165" s="8" t="n">
        <v>46357</v>
      </c>
      <c r="H165" s="8" t="n">
        <v>46357</v>
      </c>
      <c r="I165" s="17">
        <f>H165-G165+1</f>
        <v/>
      </c>
      <c r="J165" s="19" t="inlineStr">
        <is>
          <t>◆</t>
        </is>
      </c>
      <c r="K165" s="7" t="inlineStr">
        <is>
          <t>Pendiente</t>
        </is>
      </c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</row>
    <row r="166">
      <c r="A166" s="17" t="inlineStr">
        <is>
          <t>K34</t>
        </is>
      </c>
      <c r="B166" s="7" t="inlineStr">
        <is>
          <t>Cartera financiera</t>
        </is>
      </c>
      <c r="C166" s="23" t="inlineStr">
        <is>
          <t>Cierre y salida en vivo</t>
        </is>
      </c>
      <c r="D166" s="7" t="inlineStr">
        <is>
          <t>Ajuste con los movimientos del 28 al 30/11 y conciliación al 30/11</t>
        </is>
      </c>
      <c r="E166" s="7" t="inlineStr">
        <is>
          <t>Equipo Cartera (2 personas, por designar) + Contadora Rafaela Lastra España</t>
        </is>
      </c>
      <c r="F166" s="7" t="inlineStr">
        <is>
          <t>Jorman Copete (IngenIA 365)</t>
        </is>
      </c>
      <c r="G166" s="8" t="n">
        <v>46357</v>
      </c>
      <c r="H166" s="8" t="n">
        <v>46358</v>
      </c>
      <c r="I166" s="17">
        <f>H166-G166+1</f>
        <v/>
      </c>
      <c r="J166" s="17" t="inlineStr"/>
      <c r="K166" s="7" t="inlineStr">
        <is>
          <t>Pendiente</t>
        </is>
      </c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</row>
    <row r="167">
      <c r="A167" s="17" t="inlineStr">
        <is>
          <t>M33</t>
        </is>
      </c>
      <c r="B167" s="7" t="inlineStr">
        <is>
          <t>Comercial</t>
        </is>
      </c>
      <c r="C167" s="23" t="inlineStr">
        <is>
          <t>Cierre y salida en vivo</t>
        </is>
      </c>
      <c r="D167" s="7" t="inlineStr">
        <is>
          <t>Saldos de CxC clientes y CxP proveedores al 30/11</t>
        </is>
      </c>
      <c r="E167" s="7" t="inlineStr">
        <is>
          <t>Equipo Comercial (2 personas, por designar)</t>
        </is>
      </c>
      <c r="F167" s="7" t="inlineStr">
        <is>
          <t>Jorman Copete (IngenIA 365)</t>
        </is>
      </c>
      <c r="G167" s="8" t="n">
        <v>46357</v>
      </c>
      <c r="H167" s="8" t="n">
        <v>46359</v>
      </c>
      <c r="I167" s="17">
        <f>H167-G167+1</f>
        <v/>
      </c>
      <c r="J167" s="17" t="inlineStr"/>
      <c r="K167" s="7" t="inlineStr">
        <is>
          <t>Pendiente</t>
        </is>
      </c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</row>
    <row r="168">
      <c r="A168" s="17" t="inlineStr">
        <is>
          <t>G11</t>
        </is>
      </c>
      <c r="B168" s="7" t="inlineStr">
        <is>
          <t>Gestión del proyecto</t>
        </is>
      </c>
      <c r="C168" s="26" t="inlineStr">
        <is>
          <t>Gestión del proyecto</t>
        </is>
      </c>
      <c r="D168" s="7" t="inlineStr">
        <is>
          <t>Soporte intensivo y revisión posterior a la salida</t>
        </is>
      </c>
      <c r="E168" s="7" t="inlineStr">
        <is>
          <t>Gestor del proyecto (por designar) + Jorman Copete (IngenIA 365)</t>
        </is>
      </c>
      <c r="F168" s="7" t="inlineStr">
        <is>
          <t>Jorman Copete (IngenIA 365)</t>
        </is>
      </c>
      <c r="G168" s="8" t="n">
        <v>46357</v>
      </c>
      <c r="H168" s="8" t="n">
        <v>46360</v>
      </c>
      <c r="I168" s="17">
        <f>H168-G168+1</f>
        <v/>
      </c>
      <c r="J168" s="17" t="inlineStr"/>
      <c r="K168" s="7" t="inlineStr">
        <is>
          <t>Pendiente</t>
        </is>
      </c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</row>
    <row r="169">
      <c r="A169" s="17" t="inlineStr">
        <is>
          <t>N40</t>
        </is>
      </c>
      <c r="B169" s="7" t="inlineStr">
        <is>
          <t>Nómina</t>
        </is>
      </c>
      <c r="C169" s="23" t="inlineStr">
        <is>
          <t>Cierre y salida en vivo</t>
        </is>
      </c>
      <c r="D169" s="7" t="inlineStr">
        <is>
          <t>Acompañamiento de la primera semana en vivo</t>
        </is>
      </c>
      <c r="E169" s="7" t="inlineStr">
        <is>
          <t>Equipo Nómina (2 personas, por designar)</t>
        </is>
      </c>
      <c r="F169" s="7" t="inlineStr">
        <is>
          <t>Jorman Copete (IngenIA 365)</t>
        </is>
      </c>
      <c r="G169" s="8" t="n">
        <v>46357</v>
      </c>
      <c r="H169" s="8" t="n">
        <v>46360</v>
      </c>
      <c r="I169" s="17">
        <f>H169-G169+1</f>
        <v/>
      </c>
      <c r="J169" s="17" t="inlineStr"/>
      <c r="K169" s="7" t="inlineStr">
        <is>
          <t>Pendiente</t>
        </is>
      </c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</row>
    <row r="170">
      <c r="A170" s="17" t="inlineStr">
        <is>
          <t>C37</t>
        </is>
      </c>
      <c r="B170" s="7" t="inlineStr">
        <is>
          <t>Contabilidad</t>
        </is>
      </c>
      <c r="C170" s="23" t="inlineStr">
        <is>
          <t>Cierre y salida en vivo</t>
        </is>
      </c>
      <c r="D170" s="7" t="inlineStr">
        <is>
          <t>Comprobante de saldos iniciales al 30/11</t>
        </is>
      </c>
      <c r="E170" s="7" t="inlineStr">
        <is>
          <t>Contadora Rafaela Lastra España + auxiliar contable (por designar)</t>
        </is>
      </c>
      <c r="F170" s="7" t="inlineStr">
        <is>
          <t>Jorman Copete (IngenIA 365)</t>
        </is>
      </c>
      <c r="G170" s="8" t="n">
        <v>46357</v>
      </c>
      <c r="H170" s="8" t="n">
        <v>46360</v>
      </c>
      <c r="I170" s="17">
        <f>H170-G170+1</f>
        <v/>
      </c>
      <c r="J170" s="17" t="inlineStr"/>
      <c r="K170" s="7" t="inlineStr">
        <is>
          <t>Pendiente</t>
        </is>
      </c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</row>
    <row r="171">
      <c r="A171" s="17" t="inlineStr">
        <is>
          <t>C43</t>
        </is>
      </c>
      <c r="B171" s="7" t="inlineStr">
        <is>
          <t>Contabilidad</t>
        </is>
      </c>
      <c r="C171" s="23" t="inlineStr">
        <is>
          <t>Cierre y salida en vivo</t>
        </is>
      </c>
      <c r="D171" s="7" t="inlineStr">
        <is>
          <t>Acompañamiento de la primera semana en vivo</t>
        </is>
      </c>
      <c r="E171" s="7" t="inlineStr">
        <is>
          <t>Contadora Rafaela Lastra España + auxiliar contable (por designar)</t>
        </is>
      </c>
      <c r="F171" s="7" t="inlineStr">
        <is>
          <t>Jorman Copete (IngenIA 365)</t>
        </is>
      </c>
      <c r="G171" s="8" t="n">
        <v>46357</v>
      </c>
      <c r="H171" s="8" t="n">
        <v>46360</v>
      </c>
      <c r="I171" s="17">
        <f>H171-G171+1</f>
        <v/>
      </c>
      <c r="J171" s="17" t="inlineStr"/>
      <c r="K171" s="7" t="inlineStr">
        <is>
          <t>Pendiente</t>
        </is>
      </c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</row>
    <row r="172">
      <c r="A172" s="17" t="inlineStr">
        <is>
          <t>M37</t>
        </is>
      </c>
      <c r="B172" s="7" t="inlineStr">
        <is>
          <t>Comercial</t>
        </is>
      </c>
      <c r="C172" s="23" t="inlineStr">
        <is>
          <t>Cierre y salida en vivo</t>
        </is>
      </c>
      <c r="D172" s="7" t="inlineStr">
        <is>
          <t>Acompañamiento de la primera semana en vivo</t>
        </is>
      </c>
      <c r="E172" s="7" t="inlineStr">
        <is>
          <t>Equipo Comercial (2 personas, por designar)</t>
        </is>
      </c>
      <c r="F172" s="7" t="inlineStr">
        <is>
          <t>Jorman Copete (IngenIA 365)</t>
        </is>
      </c>
      <c r="G172" s="8" t="n">
        <v>46357</v>
      </c>
      <c r="H172" s="8" t="n">
        <v>46360</v>
      </c>
      <c r="I172" s="17">
        <f>H172-G172+1</f>
        <v/>
      </c>
      <c r="J172" s="17" t="inlineStr"/>
      <c r="K172" s="7" t="inlineStr">
        <is>
          <t>Pendiente</t>
        </is>
      </c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</row>
    <row r="173">
      <c r="A173" s="17" t="inlineStr">
        <is>
          <t>K39</t>
        </is>
      </c>
      <c r="B173" s="7" t="inlineStr">
        <is>
          <t>Cartera financiera</t>
        </is>
      </c>
      <c r="C173" s="23" t="inlineStr">
        <is>
          <t>Cierre y salida en vivo</t>
        </is>
      </c>
      <c r="D173" s="7" t="inlineStr">
        <is>
          <t>Acompañamiento de la primera semana en vivo</t>
        </is>
      </c>
      <c r="E173" s="7" t="inlineStr">
        <is>
          <t>Equipo Cartera (2 personas, por designar)</t>
        </is>
      </c>
      <c r="F173" s="7" t="inlineStr">
        <is>
          <t>Jorman Copete (IngenIA 365)</t>
        </is>
      </c>
      <c r="G173" s="8" t="n">
        <v>46357</v>
      </c>
      <c r="H173" s="8" t="n">
        <v>46360</v>
      </c>
      <c r="I173" s="17">
        <f>H173-G173+1</f>
        <v/>
      </c>
      <c r="J173" s="17" t="inlineStr"/>
      <c r="K173" s="7" t="inlineStr">
        <is>
          <t>Pendiente</t>
        </is>
      </c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</row>
    <row r="174">
      <c r="A174" s="27" t="inlineStr">
        <is>
          <t>K35</t>
        </is>
      </c>
      <c r="B174" s="7" t="inlineStr">
        <is>
          <t>Cartera financiera</t>
        </is>
      </c>
      <c r="C174" s="23" t="inlineStr">
        <is>
          <t>Cierre y salida en vivo</t>
        </is>
      </c>
      <c r="D174" s="28" t="inlineStr">
        <is>
          <t>◆ HITO — Saldos de cartera y aportes al 30/11 conciliados</t>
        </is>
      </c>
      <c r="E174" s="7" t="inlineStr">
        <is>
          <t>Contadora Rafaela Lastra España</t>
        </is>
      </c>
      <c r="F174" s="7" t="inlineStr">
        <is>
          <t>Jorman Copete (IngenIA 365)</t>
        </is>
      </c>
      <c r="G174" s="8" t="n">
        <v>46358</v>
      </c>
      <c r="H174" s="8" t="n">
        <v>46358</v>
      </c>
      <c r="I174" s="17">
        <f>H174-G174+1</f>
        <v/>
      </c>
      <c r="J174" s="19" t="inlineStr">
        <is>
          <t>◆</t>
        </is>
      </c>
      <c r="K174" s="7" t="inlineStr">
        <is>
          <t>Pendiente</t>
        </is>
      </c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</row>
    <row r="175">
      <c r="A175" s="17" t="inlineStr">
        <is>
          <t>C39</t>
        </is>
      </c>
      <c r="B175" s="7" t="inlineStr">
        <is>
          <t>Contabilidad</t>
        </is>
      </c>
      <c r="C175" s="23" t="inlineStr">
        <is>
          <t>Cierre y salida en vivo</t>
        </is>
      </c>
      <c r="D175" s="7" t="inlineStr">
        <is>
          <t>Conciliación de saldos por módulo</t>
        </is>
      </c>
      <c r="E175" s="7" t="inlineStr">
        <is>
          <t>Contadora Rafaela Lastra España</t>
        </is>
      </c>
      <c r="F175" s="7" t="inlineStr">
        <is>
          <t>Jorman Copete (IngenIA 365)</t>
        </is>
      </c>
      <c r="G175" s="8" t="n">
        <v>46358</v>
      </c>
      <c r="H175" s="8" t="n">
        <v>46360</v>
      </c>
      <c r="I175" s="17">
        <f>H175-G175+1</f>
        <v/>
      </c>
      <c r="J175" s="17" t="inlineStr"/>
      <c r="K175" s="7" t="inlineStr">
        <is>
          <t>Pendiente</t>
        </is>
      </c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</row>
    <row r="176">
      <c r="A176" s="27" t="inlineStr">
        <is>
          <t>C38</t>
        </is>
      </c>
      <c r="B176" s="7" t="inlineStr">
        <is>
          <t>Contabilidad</t>
        </is>
      </c>
      <c r="C176" s="23" t="inlineStr">
        <is>
          <t>Cierre y salida en vivo</t>
        </is>
      </c>
      <c r="D176" s="28" t="inlineStr">
        <is>
          <t>◆ HITO — Saldos al 30/11 cargados y conciliados</t>
        </is>
      </c>
      <c r="E176" s="7" t="inlineStr">
        <is>
          <t>Contadora Rafaela Lastra España</t>
        </is>
      </c>
      <c r="F176" s="7" t="inlineStr">
        <is>
          <t>Jorman Copete (IngenIA 365)</t>
        </is>
      </c>
      <c r="G176" s="8" t="n">
        <v>46360</v>
      </c>
      <c r="H176" s="8" t="n">
        <v>46360</v>
      </c>
      <c r="I176" s="17">
        <f>H176-G176+1</f>
        <v/>
      </c>
      <c r="J176" s="19" t="inlineStr">
        <is>
          <t>◆</t>
        </is>
      </c>
      <c r="K176" s="7" t="inlineStr">
        <is>
          <t>Pendiente</t>
        </is>
      </c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</row>
    <row r="179">
      <c r="A179" s="4" t="inlineStr">
        <is>
          <t>Calendario de capacitaciones de los sábados</t>
        </is>
      </c>
    </row>
    <row r="180">
      <c r="A180" s="16" t="inlineStr">
        <is>
          <t>Sesiones por proceso, presenciales o virtuales; si dos módulos coinciden el mismo sábado, se hacen en paralelo o en bloques distintos. Horario y modalidad: acordado entre las partes. No se programan sesiones en festivos (12/10, 02/11, 16/11 y 08/12).</t>
        </is>
      </c>
    </row>
    <row r="181" ht="32" customHeight="1">
      <c r="A181" s="6" t="inlineStr">
        <is>
          <t>Fecha</t>
        </is>
      </c>
      <c r="B181" s="6" t="inlineStr">
        <is>
          <t>Día</t>
        </is>
      </c>
      <c r="C181" s="6" t="inlineStr">
        <is>
          <t>Módulo(s)</t>
        </is>
      </c>
      <c r="D181" s="6" t="inlineStr">
        <is>
          <t>Sesiones (Nº y tema)</t>
        </is>
      </c>
      <c r="E181" s="6" t="inlineStr">
        <is>
          <t>Horario y modalidad</t>
        </is>
      </c>
      <c r="F181" s="6" t="inlineStr">
        <is>
          <t>Observaciones</t>
        </is>
      </c>
    </row>
    <row r="182">
      <c r="A182" s="29" t="n">
        <v>46277</v>
      </c>
      <c r="B182" s="7" t="inlineStr">
        <is>
          <t>sábado</t>
        </is>
      </c>
      <c r="C182" s="7" t="inlineStr">
        <is>
          <t>Nómina</t>
        </is>
      </c>
      <c r="D182" s="7" t="inlineStr">
        <is>
          <t>N15: Sesión 1 (sáb 12/09): introducción, planes y conceptos</t>
        </is>
      </c>
      <c r="E182" s="7" t="inlineStr">
        <is>
          <t>Acordado entre las partes</t>
        </is>
      </c>
      <c r="F182" s="7" t="inlineStr"/>
    </row>
    <row r="183">
      <c r="A183" s="29" t="n">
        <v>46284</v>
      </c>
      <c r="B183" s="7" t="inlineStr">
        <is>
          <t>sábado</t>
        </is>
      </c>
      <c r="C183" s="7" t="inlineStr">
        <is>
          <t>Nómina</t>
        </is>
      </c>
      <c r="D183" s="7" t="inlineStr">
        <is>
          <t>N16: Sesión 2 (sáb 19/09): entidades, empleados, períodos y novedades</t>
        </is>
      </c>
      <c r="E183" s="7" t="inlineStr">
        <is>
          <t>Acordado entre las partes</t>
        </is>
      </c>
      <c r="F183" s="7" t="inlineStr">
        <is>
          <t>Hoy (19/09): acuerdo de horario y modalidad con gerencia</t>
        </is>
      </c>
    </row>
    <row r="184">
      <c r="A184" s="29" t="n">
        <v>46291</v>
      </c>
      <c r="B184" s="7" t="inlineStr">
        <is>
          <t>sábado</t>
        </is>
      </c>
      <c r="C184" s="7" t="inlineStr">
        <is>
          <t>Nómina, Contabilidad, Comercial</t>
        </is>
      </c>
      <c r="D184" s="7" t="inlineStr">
        <is>
          <t>N17: Sesión 3 (sáb 26/09): liquidación (calcular → revisar → aprobar), importación CSV de novedades y reportes
C18: Sesión 1 (sáb 26/09): introducción — catálogo CUIF, niveles, cuatro ojos y plan del módulo
M15: Sesión 1 (sáb 26/09): introducción al módulo Inventario/Comercial y Tesorería; plan del módulo</t>
        </is>
      </c>
      <c r="E184" s="7" t="inlineStr">
        <is>
          <t>Acordado entre las partes</t>
        </is>
      </c>
      <c r="F184" s="7" t="inlineStr"/>
    </row>
    <row r="185">
      <c r="A185" s="29" t="n">
        <v>46298</v>
      </c>
      <c r="B185" s="7" t="inlineStr">
        <is>
          <t>sábado</t>
        </is>
      </c>
      <c r="C185" s="7" t="inlineStr">
        <is>
          <t>Contabilidad, Comercial</t>
        </is>
      </c>
      <c r="D185" s="7" t="inlineStr">
        <is>
          <t>C19: Sesión 2 (sáb 03/10): configuración inicial, catálogos y validación del catálogo
M16: Sesión 2 (sáb 03/10): grupos, bodegas, ubicaciones, puntos de venta y turnos</t>
        </is>
      </c>
      <c r="E185" s="7" t="inlineStr">
        <is>
          <t>Acordado entre las partes</t>
        </is>
      </c>
      <c r="F185" s="7" t="inlineStr"/>
    </row>
    <row r="186">
      <c r="A186" s="29" t="n">
        <v>46305</v>
      </c>
      <c r="B186" s="7" t="inlineStr">
        <is>
          <t>sábado</t>
        </is>
      </c>
      <c r="C186" s="7" t="inlineStr">
        <is>
          <t>Contabilidad, Comercial</t>
        </is>
      </c>
      <c r="D186" s="7" t="inlineStr">
        <is>
          <t>C20: Sesión 3 (sáb 10/10): plan de cuentas, tipos de comprobante y períodos
M17: Sesión 3 (sáb 10/10): productos, listas de precios, descuentos, vendedores y comisiones</t>
        </is>
      </c>
      <c r="E186" s="7" t="inlineStr">
        <is>
          <t>Acordado entre las partes</t>
        </is>
      </c>
      <c r="F186" s="7" t="inlineStr"/>
    </row>
    <row r="187">
      <c r="A187" s="29" t="n">
        <v>46312</v>
      </c>
      <c r="B187" s="7" t="inlineStr">
        <is>
          <t>sábado</t>
        </is>
      </c>
      <c r="C187" s="7" t="inlineStr">
        <is>
          <t>Contabilidad, Comercial</t>
        </is>
      </c>
      <c r="D187" s="7" t="inlineStr">
        <is>
          <t>C21: Sesión 4 (sáb 17/10): comprobantes y borradores — causaciones, pagos y egresos con casos de la cooperativa
M18: Sesión 4 (sáb 17/10): tipos de movimiento, movimientos, kardex e inventario valorizado</t>
        </is>
      </c>
      <c r="E187" s="7" t="inlineStr">
        <is>
          <t>Acordado entre las partes</t>
        </is>
      </c>
      <c r="F187" s="7" t="inlineStr"/>
    </row>
    <row r="188">
      <c r="A188" s="29" t="n">
        <v>46319</v>
      </c>
      <c r="B188" s="7" t="inlineStr">
        <is>
          <t>sábado</t>
        </is>
      </c>
      <c r="C188" s="7" t="inlineStr">
        <is>
          <t>Contabilidad, Comercial, Cartera financiera</t>
        </is>
      </c>
      <c r="D188" s="7" t="inlineStr">
        <is>
          <t>C22: Sesión 5 (sáb 24/10): nómina (NM), cuentas de cartera e inventario; protocolo del paralelo
M19: Sesión 5 (sáb 24/10): facturación y tesorería (cheques, facturas CxP/CxC, flujo de caja)
K17: Sesión 1 (sáb 24/10): introducción y parámetros (líneas, tasas, códigos, periodicidad, zonas)</t>
        </is>
      </c>
      <c r="E188" s="7" t="inlineStr">
        <is>
          <t>Acordado entre las partes</t>
        </is>
      </c>
      <c r="F188" s="7" t="inlineStr"/>
    </row>
    <row r="189">
      <c r="A189" s="29" t="n">
        <v>46326</v>
      </c>
      <c r="B189" s="7" t="inlineStr">
        <is>
          <t>sábado</t>
        </is>
      </c>
      <c r="C189" s="7" t="inlineStr">
        <is>
          <t>Contabilidad, Comercial, Cartera financiera</t>
        </is>
      </c>
      <c r="D189" s="7" t="inlineStr">
        <is>
          <t>C23: Sesión 6 (sáb 31/10): cierre de parametrización, muestra del paralelo y bitácora de diferencias
M20: Sesión 6 (sáb 31/10): cierre de parametrización, muestra del paralelo y bitácora
K18: Sesión 2 (sáb 31/10): asociados, aportes, solicitudes de crédito y aprobación</t>
        </is>
      </c>
      <c r="E189" s="7" t="inlineStr">
        <is>
          <t>Acordado entre las partes</t>
        </is>
      </c>
      <c r="F189" s="7" t="inlineStr"/>
    </row>
    <row r="190">
      <c r="A190" s="29" t="n">
        <v>46333</v>
      </c>
      <c r="B190" s="7" t="inlineStr">
        <is>
          <t>sábado</t>
        </is>
      </c>
      <c r="C190" s="7" t="inlineStr">
        <is>
          <t>Cartera financiera</t>
        </is>
      </c>
      <c r="D190" s="7" t="inlineStr">
        <is>
          <t>K19: Sesión 3 (sáb 07/11): desembolsos, proyecciones y plan de pagos, recaudos, descuento por nómina</t>
        </is>
      </c>
      <c r="E190" s="7" t="inlineStr">
        <is>
          <t>Acordado entre las partes</t>
        </is>
      </c>
      <c r="F190" s="7" t="inlineStr"/>
    </row>
    <row r="191">
      <c r="A191" s="29" t="n">
        <v>46340</v>
      </c>
      <c r="B191" s="7" t="inlineStr">
        <is>
          <t>sábado</t>
        </is>
      </c>
      <c r="C191" s="7" t="inlineStr">
        <is>
          <t>Nómina, Cartera financiera</t>
        </is>
      </c>
      <c r="D191" s="7" t="inlineStr">
        <is>
          <t>N19: Sesión 4 (sáb 14/11): aprobación, comprobante NM y reportes para el cierre; repaso general
K20: Sesión 4 (sáb 14/11): mora y cobro, causación de intereses, calificación de cartera, extractos, cartera por edades e informes</t>
        </is>
      </c>
      <c r="E191" s="7" t="inlineStr">
        <is>
          <t>Acordado entre las partes</t>
        </is>
      </c>
      <c r="F191" s="7" t="inlineStr"/>
    </row>
    <row r="192">
      <c r="A192" s="29" t="n">
        <v>46347</v>
      </c>
      <c r="B192" s="7" t="inlineStr">
        <is>
          <t>sábado</t>
        </is>
      </c>
      <c r="C192" s="7" t="inlineStr">
        <is>
          <t>Cartera financiera</t>
        </is>
      </c>
      <c r="D192" s="7" t="inlineStr">
        <is>
          <t>K21: Sesión 5 (sáb 21/11): revisión del paralelo y preparación de la carga de saldos</t>
        </is>
      </c>
      <c r="E192" s="7" t="inlineStr">
        <is>
          <t>Acordado entre las partes</t>
        </is>
      </c>
      <c r="F192" s="7" t="inlineStr"/>
    </row>
    <row r="193">
      <c r="A193" s="29" t="n">
        <v>46354</v>
      </c>
      <c r="B193" s="7" t="inlineStr">
        <is>
          <t>sábado</t>
        </is>
      </c>
      <c r="C193" s="7" t="inlineStr">
        <is>
          <t>—</t>
        </is>
      </c>
      <c r="D193" s="7" t="inlineStr">
        <is>
          <t>Sin sesión programada (reservado para refuerzo o recuperación)</t>
        </is>
      </c>
      <c r="E193" s="7" t="inlineStr">
        <is>
          <t>Acordado entre las partes</t>
        </is>
      </c>
      <c r="F193" s="7" t="inlineStr">
        <is>
          <t>Corte del paralelo y comité go / no-go</t>
        </is>
      </c>
    </row>
    <row r="195">
      <c r="A195" s="4" t="inlineStr">
        <is>
          <t>Sesiones entre semana (día por acordar)</t>
        </is>
      </c>
    </row>
    <row r="196" ht="32" customHeight="1">
      <c r="A196" s="6" t="inlineStr">
        <is>
          <t>Fecha</t>
        </is>
      </c>
      <c r="B196" s="6" t="inlineStr">
        <is>
          <t>Día</t>
        </is>
      </c>
      <c r="C196" s="6" t="inlineStr">
        <is>
          <t>Módulo(s)</t>
        </is>
      </c>
      <c r="D196" s="6" t="inlineStr">
        <is>
          <t>Sesiones (Nº y tema)</t>
        </is>
      </c>
      <c r="E196" s="6" t="inlineStr">
        <is>
          <t>Horario y modalidad</t>
        </is>
      </c>
      <c r="F196" s="6" t="inlineStr">
        <is>
          <t>Observaciones</t>
        </is>
      </c>
    </row>
    <row r="197">
      <c r="A197" s="29" t="n">
        <v>46295</v>
      </c>
      <c r="B197" s="7" t="inlineStr">
        <is>
          <t>miércoles</t>
        </is>
      </c>
      <c r="C197" s="7" t="inlineStr">
        <is>
          <t>Nómina</t>
        </is>
      </c>
      <c r="D197" s="7" t="inlineStr">
        <is>
          <t>N18: Sesión entre semana (mié 30/09, día por acordar): acompañamiento del ciclo de calibración</t>
        </is>
      </c>
      <c r="E197" s="7" t="inlineStr">
        <is>
          <t>Acordado entre las partes</t>
        </is>
      </c>
      <c r="F197" s="7" t="inlineStr">
        <is>
          <t>Fecha tentativa; se confirma en el seguimiento semanal</t>
        </is>
      </c>
    </row>
    <row r="198">
      <c r="A198" s="29" t="n">
        <v>46330</v>
      </c>
      <c r="B198" s="7" t="inlineStr">
        <is>
          <t>miércoles</t>
        </is>
      </c>
      <c r="C198" s="7" t="inlineStr">
        <is>
          <t>Cartera financiera</t>
        </is>
      </c>
      <c r="D198" s="7" t="inlineStr">
        <is>
          <t>K22: Sesión entre semana (mié 04/11, día por acordar): acompañamiento en parametrización</t>
        </is>
      </c>
      <c r="E198" s="7" t="inlineStr">
        <is>
          <t>Acordado entre las partes</t>
        </is>
      </c>
      <c r="F198" s="7" t="inlineStr">
        <is>
          <t>Fecha tentativa; se confirma en el seguimiento semanal</t>
        </is>
      </c>
    </row>
    <row r="199">
      <c r="A199" s="29" t="n">
        <v>46337</v>
      </c>
      <c r="B199" s="7" t="inlineStr">
        <is>
          <t>miércoles</t>
        </is>
      </c>
      <c r="C199" s="7" t="inlineStr">
        <is>
          <t>Contabilidad</t>
        </is>
      </c>
      <c r="D199" s="7" t="inlineStr">
        <is>
          <t>C24: Sesión entre semana (mié 11/11, día por acordar): revisión de los comprobantes del ciclo 1 con la contadora</t>
        </is>
      </c>
      <c r="E199" s="7" t="inlineStr">
        <is>
          <t>Acordado entre las partes</t>
        </is>
      </c>
      <c r="F199" s="7" t="inlineStr">
        <is>
          <t>Fecha tentativa; se confirma en el seguimiento semanal</t>
        </is>
      </c>
    </row>
    <row r="200">
      <c r="A200" s="29" t="n">
        <v>46338</v>
      </c>
      <c r="B200" s="7" t="inlineStr">
        <is>
          <t>jueves</t>
        </is>
      </c>
      <c r="C200" s="7" t="inlineStr">
        <is>
          <t>Comercial</t>
        </is>
      </c>
      <c r="D200" s="7" t="inlineStr">
        <is>
          <t>M21: Sesión entre semana (jue 12/11, día por acordar): acompañamiento en punto de venta durante el ciclo 1</t>
        </is>
      </c>
      <c r="E200" s="7" t="inlineStr">
        <is>
          <t>Acordado entre las partes</t>
        </is>
      </c>
      <c r="F200" s="7" t="inlineStr">
        <is>
          <t>Fecha tentativa; se confirma en el seguimiento semanal</t>
        </is>
      </c>
    </row>
  </sheetData>
  <autoFilter ref="A6:K176"/>
  <conditionalFormatting sqref="L7:W176">
    <cfRule type="expression" priority="1" dxfId="4" stopIfTrue="1">
      <formula>AND($J7="◆",$G7&lt;=L$6+6,$H7&gt;=L$6)</formula>
    </cfRule>
    <cfRule type="expression" priority="2" dxfId="5">
      <formula>AND($C7="Preparación y parametrización",$G7&lt;=L$6+6,$H7&gt;=L$6)</formula>
    </cfRule>
    <cfRule type="expression" priority="3" dxfId="6">
      <formula>AND($C7="Capacitación",$G7&lt;=L$6+6,$H7&gt;=L$6)</formula>
    </cfRule>
    <cfRule type="expression" priority="4" dxfId="7">
      <formula>AND($C7="Paralelo con el aplicativo actual",$G7&lt;=L$6+6,$H7&gt;=L$6)</formula>
    </cfRule>
    <cfRule type="expression" priority="5" dxfId="8">
      <formula>AND($C7="Cierre y salida en vivo",$G7&lt;=L$6+6,$H7&gt;=L$6)</formula>
    </cfRule>
    <cfRule type="expression" priority="6" dxfId="9">
      <formula>AND($C7="Gestión del proyecto",$G7&lt;=L$6+6,$H7&gt;=L$6)</formula>
    </cfRule>
  </conditionalFormatting>
  <conditionalFormatting sqref="K7:K176">
    <cfRule type="cellIs" priority="7" operator="equal" dxfId="0">
      <formula>"Terminada"</formula>
    </cfRule>
    <cfRule type="cellIs" priority="8" operator="equal" dxfId="1">
      <formula>"En curso"</formula>
    </cfRule>
    <cfRule type="cellIs" priority="9" operator="equal" dxfId="2">
      <formula>"Bloqueada"</formula>
    </cfRule>
    <cfRule type="cellIs" priority="10" operator="equal" dxfId="3">
      <formula>"Por confirmar"</formula>
    </cfRule>
  </conditionalFormatting>
  <dataValidations count="1">
    <dataValidation sqref="K7:K176" showDropDown="0" showInputMessage="0" showErrorMessage="0" allowBlank="1" errorTitle="Estado" error="Elija un estado de la lista" type="list">
      <formula1>"Pendiente,En curso,Terminada,Bloqueada,Por confirmar"</formula1>
    </dataValidation>
  </dataValidations>
  <pageMargins left="0.75" right="0.75" top="1" bottom="1" header="0.5" footer="0.5"/>
  <pageSetup orientation="landscape" paperSize="5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IngenIA 365</dc:creator>
  <dc:title xmlns:dc="http://purl.org/dc/elements/1.1/">Plan de implementación IngenIA365ERP — COOFLOPAL</dc:title>
  <dcterms:created xmlns:dcterms="http://purl.org/dc/terms/" xmlns:xsi="http://www.w3.org/2001/XMLSchema-instance" xsi:type="dcterms:W3CDTF">2026-09-19T12:33:09Z</dcterms:created>
  <dcterms:modified xmlns:dcterms="http://purl.org/dc/terms/" xmlns:xsi="http://www.w3.org/2001/XMLSchema-instance" xsi:type="dcterms:W3CDTF">2026-09-19T12:33:09Z</dcterms:modified>
</cp:coreProperties>
</file>